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t-callejod\Documents\"/>
    </mc:Choice>
  </mc:AlternateContent>
  <xr:revisionPtr revIDLastSave="0" documentId="13_ncr:1_{737B3463-73EC-4240-A873-E91FC7D6AEE5}" xr6:coauthVersionLast="45" xr6:coauthVersionMax="45" xr10:uidLastSave="{00000000-0000-0000-0000-000000000000}"/>
  <bookViews>
    <workbookView xWindow="23880" yWindow="-120" windowWidth="25440" windowHeight="15390" activeTab="2" xr2:uid="{00000000-000D-0000-FFFF-FFFF00000000}"/>
  </bookViews>
  <sheets>
    <sheet name="EN CURSO" sheetId="1" r:id="rId1"/>
    <sheet name="REACH" sheetId="3" r:id="rId2"/>
    <sheet name="POR ARCHIVAR" sheetId="4" r:id="rId3"/>
    <sheet name="ARCHIVADOS" sheetId="5" r:id="rId4"/>
    <sheet name="OK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<sst xmlns="http://schemas.openxmlformats.org/spreadsheetml/2006/main" count="781" uniqueCount="305">
  <si>
    <t>PART NUMBER</t>
  </si>
  <si>
    <t>PART NAME</t>
  </si>
  <si>
    <t>TR NUMBER</t>
  </si>
  <si>
    <t>QUIÉN LO PIDE</t>
  </si>
  <si>
    <t>SUPPLIER</t>
  </si>
  <si>
    <t>CUANDO SE HA PEDIDO</t>
  </si>
  <si>
    <t>FECHA DE ÚLTIMO CORREO ENVIADO</t>
  </si>
  <si>
    <t>CONTACT EMAIL</t>
  </si>
  <si>
    <t>ESTADO</t>
  </si>
  <si>
    <t>COMENTARIOS</t>
  </si>
  <si>
    <t>---</t>
  </si>
  <si>
    <t>PEDIDO</t>
  </si>
  <si>
    <t>OK</t>
  </si>
  <si>
    <t>NOK</t>
  </si>
  <si>
    <t>POR RESPONDER</t>
  </si>
  <si>
    <t>656B015</t>
  </si>
  <si>
    <t>ISOLATION KLIMAVER 502+TEXIGLAS 25 MM</t>
  </si>
  <si>
    <t>AISLAFAE</t>
  </si>
  <si>
    <t>DAVID GONZÁLEZ</t>
  </si>
  <si>
    <t>administracion@aislafae.com</t>
  </si>
  <si>
    <t>logistica@wiska.es</t>
  </si>
  <si>
    <t>H0095123
H0095122</t>
  </si>
  <si>
    <t>ULTRAMID B3U G4</t>
  </si>
  <si>
    <t>RAW MATERIAL</t>
  </si>
  <si>
    <t>CARLOS LUIS JIMENO</t>
  </si>
  <si>
    <t>FLEXICON</t>
  </si>
  <si>
    <t>H0189740</t>
  </si>
  <si>
    <t>72410-7-1026</t>
  </si>
  <si>
    <t>Schlauchl. Bahnanw endung</t>
  </si>
  <si>
    <t>EBM-PAPST IBERICA,S.L.</t>
  </si>
  <si>
    <t>649962F</t>
  </si>
  <si>
    <t>649962E</t>
  </si>
  <si>
    <t>649D10016</t>
  </si>
  <si>
    <t>649D10015</t>
  </si>
  <si>
    <t>649D10014</t>
  </si>
  <si>
    <t>656D178</t>
  </si>
  <si>
    <t>653C10054</t>
  </si>
  <si>
    <t>639D10005</t>
  </si>
  <si>
    <t>642B290</t>
  </si>
  <si>
    <t>642B268</t>
  </si>
  <si>
    <t>642B269</t>
  </si>
  <si>
    <t xml:space="preserve">MANGUITO AMARIL.D-SCE-1K-9.5-50-4 </t>
  </si>
  <si>
    <t>TYCO ELECTRONICS</t>
  </si>
  <si>
    <t>PILAR.ROZALEN@ES.TTIINC.COM
ELISA.SANZ@ES.TTIINC.COM</t>
  </si>
  <si>
    <t>AISLANTE BARSON RM BS15 Bi5 M1 A5</t>
  </si>
  <si>
    <t>Pinta Enac, S.A.S.</t>
  </si>
  <si>
    <t>VENT. AXIAL 690/9-9/PAG/2ZL</t>
  </si>
  <si>
    <t>MULTI-WING ESPAÑOLA, S.L</t>
  </si>
  <si>
    <t>AMORTSON BS15 Bi + RESOBSON BS
(BARSON)</t>
  </si>
  <si>
    <t>(PAG) (PAGV1)
PA66/5G-EM-FR1-ECO</t>
  </si>
  <si>
    <t>PVM@MULTI-WING.ES
LMA@MULTI-WING.ES</t>
  </si>
  <si>
    <t>542/02/010A</t>
  </si>
  <si>
    <t>K.AMMOUCHE@PINTA-ELEMENTS.COM
K.KHELAFI@PINTA-INDUSTRY.COM</t>
  </si>
  <si>
    <t>En caso de no recibir respuesta escribir a 
Y.IDHAMMOU@pinta-industry.com</t>
  </si>
  <si>
    <t>CONTACTOR LC1D-186BL S207 TESYS TRIPOLAR</t>
  </si>
  <si>
    <t xml:space="preserve">CONTACTOR LC1D-186SL S207 TESYS TRIPOLAR </t>
  </si>
  <si>
    <t>CONTACTOR LC1D-326BL S207 TESYS TRIPOLAR</t>
  </si>
  <si>
    <t xml:space="preserve">(L1CD S207)
Latamid 66H2 G25 VOCT1 </t>
  </si>
  <si>
    <t>SCHNEIDER</t>
  </si>
  <si>
    <t>JUAN-JOSE.ALARCON@ES.ABB.COM</t>
  </si>
  <si>
    <t xml:space="preserve">MS132B I&lt;/&gt;10A </t>
  </si>
  <si>
    <t>SAINT-GOBAIN</t>
  </si>
  <si>
    <t>manuela.manzano@saint-gobain.com</t>
  </si>
  <si>
    <t>Pedido a fábrica</t>
  </si>
  <si>
    <t>CABLE APANT. ETHERNET 4X0.5MM2 100 OHM</t>
  </si>
  <si>
    <t>640D10031A</t>
  </si>
  <si>
    <t>NX_ROS-15-42ed03</t>
  </si>
  <si>
    <t>NEXANS</t>
  </si>
  <si>
    <t>Francisco.Verano@nexans.com</t>
  </si>
  <si>
    <t>H0070345</t>
  </si>
  <si>
    <t>H0062720</t>
  </si>
  <si>
    <t>R3G 220-RV83-01</t>
  </si>
  <si>
    <t xml:space="preserve">EBM Papst </t>
  </si>
  <si>
    <t>FAN GKHR250 CIW</t>
  </si>
  <si>
    <t>GKH_250-CIW078.4EA</t>
  </si>
  <si>
    <t>Rosenberg</t>
  </si>
  <si>
    <t>Carl De Graef</t>
  </si>
  <si>
    <t>Robin.Eppinger@rosenberg-gmbh.com</t>
  </si>
  <si>
    <t>653C10021
653C10049
653C10054
H0063674
H0064620</t>
  </si>
  <si>
    <t>AXIAL FANS</t>
  </si>
  <si>
    <t>PA66/5G-EM-FR1-ECO</t>
  </si>
  <si>
    <t>SERVOMOTOR LF24TA-SR MRK - MATERIAL 6</t>
  </si>
  <si>
    <t>H0080517</t>
  </si>
  <si>
    <t>PCB 39334 with Acrylic / alkyd coating 
EN 50264-3-2 300/500V 4x1,5mm²</t>
  </si>
  <si>
    <t>BH92869Gen D12
D10
D12</t>
  </si>
  <si>
    <t>649A346</t>
  </si>
  <si>
    <t>JOINT M20 SVN4-M20</t>
  </si>
  <si>
    <t>NBR</t>
  </si>
  <si>
    <t>ryxg001@rangerchina.com</t>
  </si>
  <si>
    <t>Ranger Enterprise (shanghai)</t>
  </si>
  <si>
    <t>D. Ronchetti</t>
  </si>
  <si>
    <t>TTI</t>
  </si>
  <si>
    <t>atencion.cliente-schneider@es.schneider-electric.com
jose-antonio.ramos@se.com
raul.mellado@se.com</t>
  </si>
  <si>
    <t>Nos enviaron un documento incompleto. Ahora nos han enviado una justificación a espera del documento completo.
Tenemos un TR de aislafae para el mismo material.</t>
  </si>
  <si>
    <t>POR ARCHIVAR</t>
  </si>
  <si>
    <t>642M071</t>
  </si>
  <si>
    <t>CIRCUIT-BREAKER 40A ABB -S203MT-C40</t>
  </si>
  <si>
    <t>WISKA</t>
  </si>
  <si>
    <t>H0051594</t>
  </si>
  <si>
    <t>CIRCUIT BREAKER 5SY4202-7KK11</t>
  </si>
  <si>
    <t>SEVERAL</t>
  </si>
  <si>
    <t>Siemens</t>
  </si>
  <si>
    <t>Certificate_7215_201703301329463661.pdf</t>
  </si>
  <si>
    <t>juandedios.lopez@siemens.com</t>
  </si>
  <si>
    <t>Carl De Graef
D. RONCHETTI</t>
  </si>
  <si>
    <t>642B20021</t>
  </si>
  <si>
    <t>CONTACTOR 3RT2017-2KF42-0LA0</t>
  </si>
  <si>
    <t>PA6* - PBT</t>
  </si>
  <si>
    <t>SIEMENS SA</t>
  </si>
  <si>
    <t>A0001</t>
  </si>
  <si>
    <t>TSHENGHUI@HAIDA.CN</t>
  </si>
  <si>
    <t xml:space="preserve">Perfil caucho termoflex 25mmx3mm </t>
  </si>
  <si>
    <t>CAU CR+EPDM 175 RE-42</t>
  </si>
  <si>
    <t>Jiangyin Haida Rubber</t>
  </si>
  <si>
    <t>CAU CR+EPDM 175 RE-42 Negro.pdf</t>
  </si>
  <si>
    <t>D: RONCHETTI</t>
  </si>
  <si>
    <t xml:space="preserve">MULTI-WING ESPAÑOLA, S.L. </t>
  </si>
  <si>
    <t>H0066519</t>
  </si>
  <si>
    <t>ASSY SSR SO887940-WF10+HEATSINK+DINRAIL</t>
  </si>
  <si>
    <t>Celduc</t>
  </si>
  <si>
    <t>Epoxy MC28 yellow card
SO887940Plasticmaterials</t>
  </si>
  <si>
    <t>PVINCENDON@CELDUC.COM</t>
  </si>
  <si>
    <t>646A20011</t>
  </si>
  <si>
    <t>TORYTRANS</t>
  </si>
  <si>
    <t>BADAMID B70 FR HF</t>
  </si>
  <si>
    <t>TRANSFORMER 380-400-440/2</t>
  </si>
  <si>
    <t>calidad@torytrans.com</t>
  </si>
  <si>
    <t>Carl De Graef
FELIPE PÉREZ ESTEBAN</t>
  </si>
  <si>
    <t>LLEVAN UN MES SIN CONTESTAR</t>
  </si>
  <si>
    <t>Robert Osowski</t>
  </si>
  <si>
    <t>691A10049</t>
  </si>
  <si>
    <t>SIKAFLEX 221</t>
  </si>
  <si>
    <t>A espera de que me envíen los TR en pdf</t>
  </si>
  <si>
    <t>tecnico@torytrans.com</t>
  </si>
  <si>
    <t>BBDD</t>
  </si>
  <si>
    <t>Ultramid A3X2G5</t>
  </si>
  <si>
    <t>Akulon K224-G6</t>
  </si>
  <si>
    <t>sagoman@sagoman.com</t>
  </si>
  <si>
    <t>No cumple EN45545. Cumple GR1.</t>
  </si>
  <si>
    <t>vicentej@siemens.com</t>
  </si>
  <si>
    <t>H0157805</t>
  </si>
  <si>
    <t>SIEMENS</t>
  </si>
  <si>
    <t xml:space="preserve">Servomotor Siemens </t>
  </si>
  <si>
    <t xml:space="preserve">641B133 </t>
  </si>
  <si>
    <t xml:space="preserve">641B136 </t>
  </si>
  <si>
    <t>654E10007</t>
  </si>
  <si>
    <t>H0005012</t>
  </si>
  <si>
    <t xml:space="preserve">distribución de masas y certificados </t>
  </si>
  <si>
    <t>H0034760</t>
  </si>
  <si>
    <t>H0100920</t>
  </si>
  <si>
    <t>H0108953</t>
  </si>
  <si>
    <t>necesitamos saber si el cable cumple con Fuego y Humos ya sea por algún certificado R15/R16 o por alguna de las cláusulas contempladas en la norma</t>
  </si>
  <si>
    <t>H0134329</t>
  </si>
  <si>
    <t>642B20036</t>
  </si>
  <si>
    <t>642B20039</t>
  </si>
  <si>
    <t>H0064979</t>
  </si>
  <si>
    <r>
      <t xml:space="preserve">certificado para el material del impulsor de material del impulsor es </t>
    </r>
    <r>
      <rPr>
        <b/>
        <sz val="10"/>
        <color theme="1"/>
        <rFont val="Arial"/>
        <family val="2"/>
      </rPr>
      <t>PA plastic UL94 V0</t>
    </r>
    <r>
      <rPr>
        <sz val="10"/>
        <color theme="1"/>
        <rFont val="Arial"/>
        <family val="2"/>
      </rPr>
      <t>. También se requiere la masa combustible</t>
    </r>
  </si>
  <si>
    <t>Merak-Jinxin Wuxi</t>
  </si>
  <si>
    <t>HOUSING SIZE 24B HAN B IP65</t>
  </si>
  <si>
    <t>HOUSING</t>
  </si>
  <si>
    <t>James.Jin@merak-hvac.com
STELLA.CHEN@MERAK-HVAC.COM</t>
  </si>
  <si>
    <t>VALVE COIL 24VDC+-4% 14W 018Z6964</t>
  </si>
  <si>
    <t>CONTACTOR AF16ZB-30-10RT-22</t>
  </si>
  <si>
    <t>AUXILIARY CONTACTS CA4-22-ERT ABB</t>
  </si>
  <si>
    <t>Asea Brown Boveri,S.A.</t>
  </si>
  <si>
    <t>Danfoss S.A.</t>
  </si>
  <si>
    <t>csciberia@danfoss.com</t>
  </si>
  <si>
    <t>Belimo Iberica,S.A.</t>
  </si>
  <si>
    <t>pedidos@belimo.es</t>
  </si>
  <si>
    <t>SERVOMOTOR LF24TA-MP-MRK</t>
  </si>
  <si>
    <t>Wilspec Europe GmbH</t>
  </si>
  <si>
    <t>HIGH PRESSURE SWITCH HS10611F4-945-0065</t>
  </si>
  <si>
    <t>Imi Norgren, S.A.</t>
  </si>
  <si>
    <t>MAGNETIC POSITION DETECTING SWITCH</t>
  </si>
  <si>
    <t>CONTACTOR AF30ZB-30-00RT-22</t>
  </si>
  <si>
    <t>AUX. CONTACT.  2NO+2NC ABB AF CONTACTORS</t>
  </si>
  <si>
    <t>Ebm-papst Iberica,S.L.</t>
  </si>
  <si>
    <t>juan.corbalan@ebmpapst.es</t>
  </si>
  <si>
    <t>FAN EBM R3G280RR10P1-110VDC</t>
  </si>
  <si>
    <t>EXHAUST FAN</t>
  </si>
  <si>
    <t>Carlos.Erice@belimo.es
santiago.lirio@belimo.es
ricardo.martin@belimo.es
pedidos@belimo.es</t>
  </si>
  <si>
    <t>masa combustible
Enviado a Diego Merchán</t>
  </si>
  <si>
    <t>certificado de Fuego y Humos 
H0120460 - HOUSING SIZE 24B HAN B IP 67 (XANTAR según BBDD)</t>
  </si>
  <si>
    <t>CONSULTA</t>
  </si>
  <si>
    <t>ACCIONES PENDIENTES</t>
  </si>
  <si>
    <t>Determinar la masa combustible no es suficiente
CONSULTAR A
HARTING</t>
  </si>
  <si>
    <t>667G192</t>
  </si>
  <si>
    <t>PERFIL EPDM-80-UL-VO</t>
  </si>
  <si>
    <t>EPDM-80-UL-VO</t>
  </si>
  <si>
    <t>FLEXICEL INDUSTRIAL</t>
  </si>
  <si>
    <t>tamara.perez@grupoflexicel.com</t>
  </si>
  <si>
    <t>notificación enviada a compañeros.
NOVIEMBRE</t>
  </si>
  <si>
    <t>NO CUMPLE EN45545</t>
  </si>
  <si>
    <t>SIKA, S.A.</t>
  </si>
  <si>
    <t>VALLESPIN.DANIEL@ES.SIKA.COM
ALCON.BORJA@ES.SIKA.COM</t>
  </si>
  <si>
    <t>Reclamado por Pilar</t>
  </si>
  <si>
    <t>D. MERCHÁN</t>
  </si>
  <si>
    <t>No hay TR, solo una declaración de conformidad y un formato UNIFE incompleto.
Les he explicado como deben de entregar correctamente los certificados.</t>
  </si>
  <si>
    <t>¿Metal metálico?</t>
  </si>
  <si>
    <t>651Z10069</t>
  </si>
  <si>
    <t>RACOR/NUT 1/4" (707-2-14P)</t>
  </si>
  <si>
    <t>GASSO EQUIPAMENT, S.A.</t>
  </si>
  <si>
    <t>calidad.madrid@gassoflex.com</t>
  </si>
  <si>
    <t>654A20000</t>
  </si>
  <si>
    <t>CHECK VALVE NRVH 19S 7/8" 020-1066</t>
  </si>
  <si>
    <t>659F10419</t>
  </si>
  <si>
    <t>PIPE SUPPORT PLATE</t>
  </si>
  <si>
    <t>Meyfre, S.L.</t>
  </si>
  <si>
    <t>jpm@meyfre.com</t>
  </si>
  <si>
    <t>651B052</t>
  </si>
  <si>
    <t>DISTRIBUIDOR DE LATON</t>
  </si>
  <si>
    <t>651B20000</t>
  </si>
  <si>
    <t>DISTRIBUTOR</t>
  </si>
  <si>
    <t>651Z310</t>
  </si>
  <si>
    <t>CAPS H 1/4"SAE W /CHAIN  6" A-31993/10</t>
  </si>
  <si>
    <t>Merak North America Company
Merak-Jinxin Air-conditioning</t>
  </si>
  <si>
    <t>Ray.Jensen@knorrbrake.com
Stella.Chen@merak-hvac.com</t>
  </si>
  <si>
    <t>651B10025</t>
  </si>
  <si>
    <t>DISTRIBUITOR</t>
  </si>
  <si>
    <t>Merak-Jinxin Air-conditioning</t>
  </si>
  <si>
    <t>Stella.Chen@merak-hvac.com</t>
  </si>
  <si>
    <t>659F10495</t>
  </si>
  <si>
    <t>DISC VALVE BUSHING</t>
  </si>
  <si>
    <t>H0084605</t>
  </si>
  <si>
    <t xml:space="preserve">DISTRIBUTOR  BRASS </t>
  </si>
  <si>
    <t>657D2248</t>
  </si>
  <si>
    <t>BRASS CLAMP</t>
  </si>
  <si>
    <t>Talleres De Galdo Sl</t>
  </si>
  <si>
    <t>talleresdegaldo@gmail.com</t>
  </si>
  <si>
    <t>CHARGING VALVE,BODY,LP 41489-00 SCHRADER</t>
  </si>
  <si>
    <t>Schrader S.A.S</t>
  </si>
  <si>
    <t>valentin.mathiot@schrader-pacific.fr</t>
  </si>
  <si>
    <t>CHARGING VALVE,BODY,HP 41488-00 SCHRADER</t>
  </si>
  <si>
    <t>651Z280</t>
  </si>
  <si>
    <t>RACOR ROTALOCK  1-1/4"-12 UNF</t>
  </si>
  <si>
    <t>Dena Line S.p.a.</t>
  </si>
  <si>
    <t>vend1@denaline.it</t>
  </si>
  <si>
    <t>651Z315</t>
  </si>
  <si>
    <t>RACOR ROTALOCK 1-3/4"-28 ODS</t>
  </si>
  <si>
    <t>654A044</t>
  </si>
  <si>
    <t>VALV.ROTALOCK 1.3/4"-1.1/8" ODF</t>
  </si>
  <si>
    <t>654A040</t>
  </si>
  <si>
    <t>VALV. ROTALOCK 1.1/4"-7/8</t>
  </si>
  <si>
    <t>H0258288</t>
  </si>
  <si>
    <t>VALVE,CORE,1/8-27NPT</t>
  </si>
  <si>
    <t>Merche</t>
  </si>
  <si>
    <t>FECHA DE ÚLTIMO
CORREO ENVIADO</t>
  </si>
  <si>
    <t>CUANDO SE 
HA PEDIDO</t>
  </si>
  <si>
    <t>No SAP info found</t>
  </si>
  <si>
    <t>CONSULTA SOBRE SU COMPOSICIÓN</t>
  </si>
  <si>
    <t>Agrupado como Grouping rule 1
NO CUMPLE EN 45545</t>
  </si>
  <si>
    <t>Alejandro.Gil@imi-precision.com
Mariana.Zambra@imi-precision.com</t>
  </si>
  <si>
    <t>656C10000</t>
  </si>
  <si>
    <t>ISOLATION CLEANTEC ISOVER ESP. 25MM N</t>
  </si>
  <si>
    <t>LAINE DE VERRE 45 KG/M3</t>
  </si>
  <si>
    <t>TFCM (ISOVER SAINT GOBAIN -FRANCE)</t>
  </si>
  <si>
    <t>schaignaud@tfcm.fr
FREDERIC.LEPERS@SAINT-GOBAIN.COM</t>
  </si>
  <si>
    <t>BB.DD.</t>
  </si>
  <si>
    <t>H0016231</t>
  </si>
  <si>
    <t>SIEMENS 3UG4615-2CR20 AC MONITOR. RELAY</t>
  </si>
  <si>
    <t>ROBERTO.GARCIAB@SIEMENS.COM
JUANDEDIOS.LOPEZ@SIEMENS.COM</t>
  </si>
  <si>
    <t>No se sabe cuando se va a actualizar el TR</t>
  </si>
  <si>
    <t>Este ventilador esta en fase de ser obsoleto, el sustituto seria el modelo R3G220RY90-P1</t>
  </si>
  <si>
    <t>Tardarán en conseguir el formato UNIFE</t>
  </si>
  <si>
    <t>Enviado a Merche</t>
  </si>
  <si>
    <t>Peido en tramites por los compañeros</t>
  </si>
  <si>
    <t>FCCE.RACE.Orders@support.parker.com</t>
  </si>
  <si>
    <t>Parker Hannifin  Ltd</t>
  </si>
  <si>
    <t>INFO DE REFERENCIAS EN
Sporlan parker.xlsx</t>
  </si>
  <si>
    <t>germanw@ge.wilspec.com
+4921612944203 (German)</t>
  </si>
  <si>
    <t>TR pedido al proveedor</t>
  </si>
  <si>
    <t>NOMBRE DEL ARCHIVO O CARPETA</t>
  </si>
  <si>
    <t>ABB MERCHÁN</t>
  </si>
  <si>
    <t>A ESPERA DE ACTUALIZACIÓN</t>
  </si>
  <si>
    <t>BELIMO</t>
  </si>
  <si>
    <t>NOTIFICADO
caduca en 6 meses</t>
  </si>
  <si>
    <t>STATUS</t>
  </si>
  <si>
    <t>ENG_PT_501-121250_1.pdf</t>
  </si>
  <si>
    <t>ARCHIVAR BELIMO</t>
  </si>
  <si>
    <t>Bescheinigung_7599_201809041353371653.pd.pdf</t>
  </si>
  <si>
    <t>RESOBSON</t>
  </si>
  <si>
    <t>flexitec G</t>
  </si>
  <si>
    <t>FLEXITEC</t>
  </si>
  <si>
    <t>FLEXICEL</t>
  </si>
  <si>
    <t>2020AU0963.pdf</t>
  </si>
  <si>
    <t>FLEXICON FPR</t>
  </si>
  <si>
    <t>WISKA - FLEXIXON</t>
  </si>
  <si>
    <t>ISOLATION KLIMAVER 502 + TEXIGLAS 25 mm</t>
  </si>
  <si>
    <t>LAINE DE VERRE 24 kg/m3</t>
  </si>
  <si>
    <t>AISLAFAE (SAINT GOBAIN)</t>
  </si>
  <si>
    <t>RAIL ZH (3mm - 13mm)</t>
  </si>
  <si>
    <t>ARMACELL</t>
  </si>
  <si>
    <t>Rail ZH</t>
  </si>
  <si>
    <t xml:space="preserve">H0189740 </t>
  </si>
  <si>
    <t>R3G280-RR05-N2</t>
  </si>
  <si>
    <t>EBM</t>
  </si>
  <si>
    <t>ARMAFLEX SD 3 mm</t>
  </si>
  <si>
    <t>CIRSA</t>
  </si>
  <si>
    <t>Armaflex SD 3mm</t>
  </si>
  <si>
    <t>SENSOR DE CO2 T3030</t>
  </si>
  <si>
    <t>Latamid 66H2 G25 V0CT1</t>
  </si>
  <si>
    <t>AMPHENOL THERMO</t>
  </si>
  <si>
    <t>1699-20-Lati att aq.pdf</t>
  </si>
  <si>
    <t>PENDIENTE</t>
  </si>
  <si>
    <t>JUANJO NO SABE QUE ES
SATSUGAI JUANJO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</si>
</sst>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color rgb="FFFF0000"/>
      <name val="Arial"/>
      <family val="2"/>
    </font>
    <font>
      <sz val="12"/>
      <color rgb="FF00B05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0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22"/>
      <color rgb="FF000000"/>
      <name val="Arial"/>
      <family val="2"/>
    </font>
    <font>
      <sz val="8"/>
      <color theme="1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A6A6A6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>
      <alignment horizontal="center" vertical="center" wrapText="1"/>
    </xf>
    <xf numFmtId="0" fontId="2" fillId="0" borderId="0" xfId="0" quotePrefix="1" applyFont="1"/>
    <xf numFmtId="14" fontId="2" fillId="0" borderId="0" xfId="0" quotePrefix="1" applyNumberFormat="1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1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horizontal="left" vertical="center"/>
    </xf>
    <xf numFmtId="0" fontId="0" fillId="0" borderId="0" xfId="0" quotePrefix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1" fontId="2" fillId="3" borderId="1" xfId="0" applyNumberFormat="1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14" fontId="6" fillId="3" borderId="3" xfId="0" applyNumberFormat="1" applyFont="1" applyFill="1" applyBorder="1" applyAlignment="1">
      <alignment horizontal="center" vertical="center"/>
    </xf>
    <xf numFmtId="0" fontId="2" fillId="3" borderId="1" xfId="0" quotePrefix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4" fontId="2" fillId="3" borderId="3" xfId="0" applyNumberFormat="1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4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z val="12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A6A6A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A6A6A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381000</xdr:colOff>
          <xdr:row>0</xdr:row>
          <xdr:rowOff>361950</xdr:rowOff>
        </xdr:from>
        <xdr:to>
          <xdr:col>19</xdr:col>
          <xdr:colOff>95250</xdr:colOff>
          <xdr:row>3</xdr:row>
          <xdr:rowOff>1333500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BBDD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0CBF1E-48CD-4A45-B523-B80CE23CD417}" name="Tabla1" displayName="Tabla1" ref="A1:L23" totalsRowShown="0" headerRowDxfId="79" dataDxfId="78">
  <autoFilter ref="A1:L23" xr:uid="{CCEF018B-A874-4203-81DD-73F7B76B8792}"/>
  <tableColumns count="12">
    <tableColumn id="1" xr3:uid="{372026B2-C358-4130-94BC-ED304857D8C9}" name="PART NUMBER" dataDxfId="77"/>
    <tableColumn id="2" xr3:uid="{192A6D1D-1165-493D-AA1C-877B3A89DDD8}" name="PART NAME" dataDxfId="76"/>
    <tableColumn id="11" xr3:uid="{1A0C97D9-7184-4E52-BE4F-E942EEF90DBD}" name="RAW MATERIAL" dataDxfId="75"/>
    <tableColumn id="4" xr3:uid="{EFB2BCA7-FC44-4B13-8136-B8FF61558E0F}" name="SUPPLIER" dataDxfId="74"/>
    <tableColumn id="3" xr3:uid="{96D30E1B-25E6-4AFA-B45B-0283DD80F1F6}" name="TR NUMBER" dataDxfId="73"/>
    <tableColumn id="5" xr3:uid="{E45AD6C0-DA88-43EC-BBC5-8C2B113E5691}" name="CONTACT EMAIL" dataDxfId="72"/>
    <tableColumn id="6" xr3:uid="{D82E6755-DFD7-4093-843F-886C4F6DDAEA}" name="QUIÉN LO PIDE" dataDxfId="71"/>
    <tableColumn id="7" xr3:uid="{41F832F5-AD40-4059-8B1F-64AA5B70A6CA}" name="CUANDO SE HA PEDIDO" dataDxfId="70"/>
    <tableColumn id="8" xr3:uid="{244FB59C-7A84-4802-96E5-D69AE013C5DA}" name="FECHA DE ÚLTIMO CORREO ENVIADO" dataDxfId="69"/>
    <tableColumn id="9" xr3:uid="{7FDEA09D-3F65-4D98-B7BE-C17530AB9BAA}" name="ESTADO" dataDxfId="68"/>
    <tableColumn id="10" xr3:uid="{715AD708-2AB7-46BD-8BFF-5152AF0CADD4}" name="COMENTARIOS" dataDxfId="67"/>
    <tableColumn id="12" xr3:uid="{2C9F7BB5-69B8-4C98-8DE3-830A1FC709CA}" name="ACCIONES PENDIENTES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0FADB-4466-4DF7-8CE7-ACAA42446B94}" name="Tabla2" displayName="Tabla2" ref="A1:L19" totalsRowShown="0" headerRowDxfId="59">
  <autoFilter ref="A1:L19" xr:uid="{947FD325-833D-48D1-8EBA-5318D8B83070}"/>
  <tableColumns count="12">
    <tableColumn id="1" xr3:uid="{0B66AAED-7DD4-471D-9FF8-E567C8E808C3}" name="PART NUMBER" dataDxfId="58"/>
    <tableColumn id="2" xr3:uid="{9B893EFA-5746-4773-93CF-544E309BCCAB}" name="PART NAME" dataDxfId="57"/>
    <tableColumn id="3" xr3:uid="{905F570B-146B-4CE6-BC6E-E8492E0021B4}" name="RAW MATERIAL" dataDxfId="56"/>
    <tableColumn id="4" xr3:uid="{EC72BADA-0856-4887-AE36-FEDDB289DBBE}" name="SUPPLIER" dataDxfId="55"/>
    <tableColumn id="5" xr3:uid="{731FA867-0E9C-4EFF-A4A0-03194562A6A6}" name="TR NUMBER" dataDxfId="54"/>
    <tableColumn id="6" xr3:uid="{EFE0DE01-C133-4C24-9D4A-53C9EA4CEFDA}" name="CONTACT EMAIL" dataDxfId="53"/>
    <tableColumn id="7" xr3:uid="{4A46A745-DEFF-400E-994C-2DA1BE732419}" name="QUIÉN LO PIDE" dataDxfId="52"/>
    <tableColumn id="8" xr3:uid="{0F662B59-03EC-43CA-B05C-67609E502CAD}" name="CUANDO SE _x000a_HA PEDIDO" dataDxfId="51"/>
    <tableColumn id="9" xr3:uid="{2599D67A-D19D-4DB2-A390-FB160DEF4F6F}" name="FECHA DE ÚLTIMO_x000a_CORREO ENVIADO" dataDxfId="50"/>
    <tableColumn id="10" xr3:uid="{734D1BCD-1451-47C8-9AA7-93934B385791}" name="ESTADO" dataDxfId="49"/>
    <tableColumn id="11" xr3:uid="{61EAE954-BA85-4FBF-AA03-61883CD71AED}" name="COMENTARIOS" dataDxfId="48"/>
    <tableColumn id="12" xr3:uid="{F09B97AA-0084-4242-8759-4B4A5AB44F28}" name="ACCIONES PENDIENTES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6E76C5-7731-4DC0-953F-36477416E5E3}" name="Tabla15" displayName="Tabla15" ref="A1:F6" totalsRowShown="0" headerRowDxfId="43" dataDxfId="42">
  <autoFilter ref="A1:F6" xr:uid="{CA4BCC1C-3FCF-467F-9250-03DB3C3BF354}"/>
  <tableColumns count="6">
    <tableColumn id="1" xr3:uid="{8E40FB97-C5D7-4D27-8813-026B9A9C9592}" name="PART NUMBER" dataDxfId="13"/>
    <tableColumn id="2" xr3:uid="{DBB97787-0478-48CF-99FD-0188BCC21402}" name="PART NAME" dataDxfId="12"/>
    <tableColumn id="6" xr3:uid="{DC4174C8-B066-4179-BA4C-505EB279ABEB}" name="RAW MATERIAL" dataDxfId="11"/>
    <tableColumn id="3" xr3:uid="{6CE217B6-15CF-43C9-AA74-CD0587E36A6D}" name="SUPPLIER" dataDxfId="10"/>
    <tableColumn id="5" xr3:uid="{1CB9C67E-23C5-4AF6-8AB1-A0575E0CAF98}" name="NOMBRE DEL ARCHIVO O CARPETA" dataDxfId="9"/>
    <tableColumn id="4" xr3:uid="{838D0FDD-3F75-459D-9AA8-E24EE333CAF5}" name="ESTADO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99EC2B-6CA4-4A07-BEE2-EB70AC3DD1CA}" name="Tabla26" displayName="Tabla26" ref="A1:F25" totalsRowShown="0" headerRowDxfId="1" dataDxfId="0" headerRowBorderDxfId="38" tableBorderDxfId="37" totalsRowBorderDxfId="36">
  <autoFilter ref="A1:F25" xr:uid="{6DE5FE61-B33C-47EA-9C5A-81C23CFDDAB8}"/>
  <tableColumns count="6">
    <tableColumn id="1" xr3:uid="{FDB6B362-5AD2-49FC-BFD7-9FE752E3297F}" name="PART NUMBER" dataDxfId="7"/>
    <tableColumn id="2" xr3:uid="{ABFCB3CA-EAEB-4FC5-B046-D0521C67B57E}" name="PART NAME" dataDxfId="6"/>
    <tableColumn id="3" xr3:uid="{23B77957-7FA4-40C7-8750-D9EDF360FCFA}" name="RAW MATERIAL" dataDxfId="5"/>
    <tableColumn id="4" xr3:uid="{80598D24-3486-4FF2-A54B-2007C8EDED62}" name="SUPPLIER" dataDxfId="4"/>
    <tableColumn id="5" xr3:uid="{14A679EC-0A82-460F-B601-6371A1EBD55F}" name="NOMBRE DEL ARCHIVO O CARPETA" dataDxfId="3"/>
    <tableColumn id="6" xr3:uid="{4A1F24AB-F32F-4EB7-830F-05F9C3FCE947}" name="STATUS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2CD8BC-547E-4858-99ED-4E212BB3CA10}" name="Tabla3" displayName="Tabla3" ref="A1:L25" totalsRowShown="0" headerRowDxfId="29" headerRowBorderDxfId="28" tableBorderDxfId="27" totalsRowBorderDxfId="26">
  <autoFilter ref="A1:L25" xr:uid="{65ACFF4E-FB33-450D-9EE1-EF0E00586F2D}"/>
  <sortState xmlns:xlrd2="http://schemas.microsoft.com/office/spreadsheetml/2017/richdata2" ref="A2:L24">
    <sortCondition descending="1" ref="I1:I24"/>
  </sortState>
  <tableColumns count="12">
    <tableColumn id="1" xr3:uid="{D4F6E610-696B-4F9C-B2A1-23F300B07623}" name="PART NUMBER" dataDxfId="25"/>
    <tableColumn id="2" xr3:uid="{0AFD490B-D398-49D9-88DB-72BA04A69F8B}" name="PART NAME" dataDxfId="24"/>
    <tableColumn id="3" xr3:uid="{696E43F6-2A5A-4E2E-9B2D-C4B46E02DFD1}" name="RAW MATERIAL" dataDxfId="23"/>
    <tableColumn id="4" xr3:uid="{BFF31F57-6580-432B-9686-FB05344A7312}" name="SUPPLIER" dataDxfId="22"/>
    <tableColumn id="5" xr3:uid="{9F281A27-CD4C-4F34-BE6D-C5607B69269C}" name="TR NUMBER" dataDxfId="21"/>
    <tableColumn id="6" xr3:uid="{9EB45542-5DA5-40D0-A4C0-29AB95F17565}" name="CONTACT EMAIL" dataDxfId="20"/>
    <tableColumn id="7" xr3:uid="{E9BBDFF1-9676-4524-BBD0-781A2B869015}" name="QUIÉN LO PIDE" dataDxfId="19"/>
    <tableColumn id="8" xr3:uid="{75B3A0AF-C49A-4F35-ABB2-E0CF13B3E8D2}" name="CUANDO SE HA PEDIDO" dataDxfId="18"/>
    <tableColumn id="9" xr3:uid="{C0C7A1D0-98A5-4CC1-BEC6-615374A3996A}" name="FECHA DE ÚLTIMO CORREO ENVIADO" dataDxfId="17"/>
    <tableColumn id="10" xr3:uid="{DB5E3FA8-22B9-48DB-A3D3-966086803032}" name="ESTADO" dataDxfId="16"/>
    <tableColumn id="11" xr3:uid="{CBCF835F-99C8-4A59-8E3B-737C3421C184}" name="COMENTARIOS" dataDxfId="15"/>
    <tableColumn id="12" xr3:uid="{417BA3E0-DB68-4A29-91EA-F1FD229F30F7}" name="ACCIONES PENDIENTES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3"/>
  <sheetViews>
    <sheetView zoomScale="50" zoomScaleNormal="50" workbookViewId="0">
      <selection activeCell="D4" sqref="D4"/>
    </sheetView>
  </sheetViews>
  <sheetFormatPr baseColWidth="10" defaultColWidth="9.140625" defaultRowHeight="15" x14ac:dyDescent="0.2"/>
  <cols>
    <col min="1" max="1" width="29.42578125" style="1" bestFit="1" customWidth="1"/>
    <col min="2" max="3" width="30.42578125" style="2" bestFit="1" customWidth="1"/>
    <col min="4" max="4" width="23.42578125" style="2" bestFit="1" customWidth="1"/>
    <col min="5" max="5" width="26.42578125" style="2" bestFit="1" customWidth="1"/>
    <col min="6" max="6" width="46.140625" style="2" bestFit="1" customWidth="1"/>
    <col min="7" max="7" width="41.42578125" style="2" bestFit="1" customWidth="1"/>
    <col min="8" max="8" width="28.7109375" style="2" bestFit="1" customWidth="1"/>
    <col min="9" max="9" width="41.28515625" style="2" bestFit="1" customWidth="1"/>
    <col min="10" max="10" width="38.5703125" style="2" bestFit="1" customWidth="1"/>
    <col min="11" max="11" width="27" style="2" customWidth="1"/>
    <col min="12" max="12" width="28.140625" style="2" bestFit="1" customWidth="1"/>
    <col min="13" max="16384" width="9.140625" style="2"/>
  </cols>
  <sheetData>
    <row r="1" spans="1:12" ht="30" x14ac:dyDescent="0.2">
      <c r="A1" s="1" t="s">
        <v>0</v>
      </c>
      <c r="B1" s="1" t="s">
        <v>1</v>
      </c>
      <c r="C1" s="1" t="s">
        <v>23</v>
      </c>
      <c r="D1" s="1" t="s">
        <v>4</v>
      </c>
      <c r="E1" s="1" t="s">
        <v>2</v>
      </c>
      <c r="F1" s="1" t="s">
        <v>7</v>
      </c>
      <c r="G1" s="1" t="s">
        <v>3</v>
      </c>
      <c r="H1" s="3" t="s">
        <v>5</v>
      </c>
      <c r="I1" s="3" t="s">
        <v>6</v>
      </c>
      <c r="J1" s="1" t="s">
        <v>8</v>
      </c>
      <c r="K1" s="1" t="s">
        <v>9</v>
      </c>
      <c r="L1" s="3" t="s">
        <v>184</v>
      </c>
    </row>
    <row r="2" spans="1:12" ht="45" x14ac:dyDescent="0.2">
      <c r="A2" s="1" t="s">
        <v>258</v>
      </c>
      <c r="B2" s="3" t="s">
        <v>259</v>
      </c>
      <c r="C2" s="1" t="s">
        <v>100</v>
      </c>
      <c r="D2" s="1" t="s">
        <v>108</v>
      </c>
      <c r="E2" s="6" t="s">
        <v>10</v>
      </c>
      <c r="F2" s="3" t="s">
        <v>260</v>
      </c>
      <c r="G2" s="1" t="s">
        <v>257</v>
      </c>
      <c r="H2" s="34">
        <v>44256</v>
      </c>
      <c r="I2" s="34">
        <v>44256</v>
      </c>
      <c r="J2" s="23" t="s">
        <v>11</v>
      </c>
      <c r="K2" s="3" t="s">
        <v>261</v>
      </c>
      <c r="L2" s="3"/>
    </row>
    <row r="3" spans="1:12" ht="45" x14ac:dyDescent="0.2">
      <c r="A3" s="1" t="s">
        <v>252</v>
      </c>
      <c r="B3" s="3" t="s">
        <v>253</v>
      </c>
      <c r="C3" s="3" t="s">
        <v>254</v>
      </c>
      <c r="D3" s="3" t="s">
        <v>255</v>
      </c>
      <c r="E3" s="6" t="s">
        <v>10</v>
      </c>
      <c r="F3" s="3" t="s">
        <v>256</v>
      </c>
      <c r="G3" s="1" t="s">
        <v>257</v>
      </c>
      <c r="H3" s="34">
        <v>44256</v>
      </c>
      <c r="I3" s="34">
        <v>44256</v>
      </c>
      <c r="J3" s="23" t="s">
        <v>12</v>
      </c>
      <c r="K3" s="1"/>
      <c r="L3" s="3"/>
    </row>
    <row r="4" spans="1:12" ht="166.5" customHeight="1" x14ac:dyDescent="0.2">
      <c r="A4" s="3" t="s">
        <v>152</v>
      </c>
      <c r="B4" s="3" t="s">
        <v>173</v>
      </c>
      <c r="C4" s="6" t="s">
        <v>10</v>
      </c>
      <c r="D4" s="1" t="s">
        <v>172</v>
      </c>
      <c r="E4" s="6" t="s">
        <v>10</v>
      </c>
      <c r="F4" s="3" t="s">
        <v>251</v>
      </c>
      <c r="G4" s="3" t="s">
        <v>196</v>
      </c>
      <c r="H4" s="4">
        <v>44246</v>
      </c>
      <c r="I4" s="4">
        <v>44256</v>
      </c>
      <c r="J4" s="23" t="s">
        <v>12</v>
      </c>
      <c r="K4" s="3" t="s">
        <v>192</v>
      </c>
      <c r="L4" s="3" t="s">
        <v>151</v>
      </c>
    </row>
    <row r="5" spans="1:12" ht="120" x14ac:dyDescent="0.2">
      <c r="A5" s="3" t="s">
        <v>150</v>
      </c>
      <c r="B5" s="3" t="s">
        <v>171</v>
      </c>
      <c r="C5" s="6" t="s">
        <v>10</v>
      </c>
      <c r="D5" s="3" t="s">
        <v>170</v>
      </c>
      <c r="E5" s="6" t="s">
        <v>10</v>
      </c>
      <c r="F5" s="3" t="s">
        <v>269</v>
      </c>
      <c r="G5" s="3" t="s">
        <v>196</v>
      </c>
      <c r="H5" s="4">
        <v>44246</v>
      </c>
      <c r="I5" s="4">
        <v>44257</v>
      </c>
      <c r="J5" s="23" t="s">
        <v>11</v>
      </c>
      <c r="K5" s="3" t="s">
        <v>151</v>
      </c>
      <c r="L5" s="3" t="s">
        <v>270</v>
      </c>
    </row>
    <row r="6" spans="1:12" ht="30" x14ac:dyDescent="0.2">
      <c r="A6" s="3" t="s">
        <v>149</v>
      </c>
      <c r="B6" s="3" t="s">
        <v>169</v>
      </c>
      <c r="C6" s="6" t="s">
        <v>10</v>
      </c>
      <c r="D6" s="3" t="s">
        <v>167</v>
      </c>
      <c r="E6" s="6" t="s">
        <v>10</v>
      </c>
      <c r="F6" s="3" t="s">
        <v>168</v>
      </c>
      <c r="G6" s="3" t="s">
        <v>196</v>
      </c>
      <c r="H6" s="4">
        <v>44246</v>
      </c>
      <c r="I6" s="4">
        <v>44256</v>
      </c>
      <c r="J6" s="23" t="s">
        <v>11</v>
      </c>
      <c r="K6" s="3" t="s">
        <v>147</v>
      </c>
      <c r="L6" s="1"/>
    </row>
    <row r="7" spans="1:12" ht="60" x14ac:dyDescent="0.2">
      <c r="A7" s="1" t="s">
        <v>69</v>
      </c>
      <c r="B7" s="1" t="s">
        <v>71</v>
      </c>
      <c r="C7" s="1" t="s">
        <v>71</v>
      </c>
      <c r="D7" s="1" t="s">
        <v>72</v>
      </c>
      <c r="E7" s="6" t="s">
        <v>10</v>
      </c>
      <c r="F7" s="1" t="s">
        <v>177</v>
      </c>
      <c r="G7" s="1" t="s">
        <v>76</v>
      </c>
      <c r="H7" s="4">
        <v>44237</v>
      </c>
      <c r="I7" s="4">
        <v>44257</v>
      </c>
      <c r="J7" s="23" t="s">
        <v>11</v>
      </c>
      <c r="K7" s="3" t="s">
        <v>262</v>
      </c>
      <c r="L7" s="3" t="s">
        <v>263</v>
      </c>
    </row>
    <row r="8" spans="1:12" ht="73.5" customHeight="1" x14ac:dyDescent="0.2">
      <c r="A8" s="10" t="s">
        <v>82</v>
      </c>
      <c r="B8" s="10" t="s">
        <v>81</v>
      </c>
      <c r="C8" s="10" t="s">
        <v>83</v>
      </c>
      <c r="D8" s="3" t="s">
        <v>167</v>
      </c>
      <c r="E8" s="11" t="s">
        <v>84</v>
      </c>
      <c r="F8" s="3" t="s">
        <v>180</v>
      </c>
      <c r="G8" s="3" t="s">
        <v>104</v>
      </c>
      <c r="H8" s="4">
        <v>44237</v>
      </c>
      <c r="I8" s="4">
        <v>44249</v>
      </c>
      <c r="J8" s="23" t="s">
        <v>14</v>
      </c>
      <c r="K8" s="3" t="s">
        <v>191</v>
      </c>
      <c r="L8" s="1"/>
    </row>
    <row r="9" spans="1:12" ht="30" x14ac:dyDescent="0.2">
      <c r="A9" s="1" t="s">
        <v>30</v>
      </c>
      <c r="B9" s="3" t="s">
        <v>41</v>
      </c>
      <c r="C9" s="6" t="s">
        <v>10</v>
      </c>
      <c r="D9" s="3" t="s">
        <v>42</v>
      </c>
      <c r="E9" s="6" t="s">
        <v>10</v>
      </c>
      <c r="F9" s="3" t="s">
        <v>43</v>
      </c>
      <c r="G9" s="1" t="s">
        <v>18</v>
      </c>
      <c r="H9" s="4">
        <v>44222</v>
      </c>
      <c r="I9" s="4">
        <v>44250</v>
      </c>
      <c r="J9" s="23" t="s">
        <v>12</v>
      </c>
      <c r="K9" s="1" t="s">
        <v>195</v>
      </c>
      <c r="L9" s="3"/>
    </row>
    <row r="10" spans="1:12" ht="30" x14ac:dyDescent="0.2">
      <c r="A10" s="1" t="s">
        <v>31</v>
      </c>
      <c r="B10" s="3" t="s">
        <v>41</v>
      </c>
      <c r="C10" s="6" t="s">
        <v>10</v>
      </c>
      <c r="D10" s="3" t="s">
        <v>42</v>
      </c>
      <c r="E10" s="6" t="s">
        <v>10</v>
      </c>
      <c r="F10" s="3" t="s">
        <v>43</v>
      </c>
      <c r="G10" s="1" t="s">
        <v>18</v>
      </c>
      <c r="H10" s="4">
        <v>44222</v>
      </c>
      <c r="I10" s="4">
        <v>44250</v>
      </c>
      <c r="J10" s="23" t="s">
        <v>12</v>
      </c>
      <c r="K10" s="1" t="s">
        <v>195</v>
      </c>
      <c r="L10" s="3"/>
    </row>
    <row r="11" spans="1:12" ht="30" x14ac:dyDescent="0.2">
      <c r="A11" s="1" t="s">
        <v>32</v>
      </c>
      <c r="B11" s="3" t="s">
        <v>41</v>
      </c>
      <c r="C11" s="6" t="s">
        <v>10</v>
      </c>
      <c r="D11" s="7" t="s">
        <v>91</v>
      </c>
      <c r="E11" s="6" t="s">
        <v>10</v>
      </c>
      <c r="F11" s="3" t="s">
        <v>43</v>
      </c>
      <c r="G11" s="1" t="s">
        <v>18</v>
      </c>
      <c r="H11" s="4">
        <v>44222</v>
      </c>
      <c r="I11" s="4">
        <v>44250</v>
      </c>
      <c r="J11" s="23" t="s">
        <v>12</v>
      </c>
      <c r="K11" s="1" t="s">
        <v>195</v>
      </c>
      <c r="L11" s="3"/>
    </row>
    <row r="12" spans="1:12" ht="30" x14ac:dyDescent="0.2">
      <c r="A12" s="1" t="s">
        <v>33</v>
      </c>
      <c r="B12" s="3" t="s">
        <v>41</v>
      </c>
      <c r="C12" s="6" t="s">
        <v>10</v>
      </c>
      <c r="D12" s="7" t="s">
        <v>91</v>
      </c>
      <c r="E12" s="6" t="s">
        <v>10</v>
      </c>
      <c r="F12" s="3" t="s">
        <v>43</v>
      </c>
      <c r="G12" s="1" t="s">
        <v>18</v>
      </c>
      <c r="H12" s="4">
        <v>44222</v>
      </c>
      <c r="I12" s="4">
        <v>44250</v>
      </c>
      <c r="J12" s="23" t="s">
        <v>12</v>
      </c>
      <c r="K12" s="1" t="s">
        <v>195</v>
      </c>
      <c r="L12" s="3"/>
    </row>
    <row r="13" spans="1:12" ht="30" x14ac:dyDescent="0.2">
      <c r="A13" s="1" t="s">
        <v>34</v>
      </c>
      <c r="B13" s="3" t="s">
        <v>41</v>
      </c>
      <c r="C13" s="6" t="s">
        <v>10</v>
      </c>
      <c r="D13" s="7" t="s">
        <v>91</v>
      </c>
      <c r="E13" s="6" t="s">
        <v>10</v>
      </c>
      <c r="F13" s="3" t="s">
        <v>43</v>
      </c>
      <c r="G13" s="1" t="s">
        <v>18</v>
      </c>
      <c r="H13" s="4">
        <v>44222</v>
      </c>
      <c r="I13" s="4">
        <v>44250</v>
      </c>
      <c r="J13" s="23" t="s">
        <v>12</v>
      </c>
      <c r="K13" s="1" t="s">
        <v>195</v>
      </c>
      <c r="L13" s="3"/>
    </row>
    <row r="14" spans="1:12" s="8" customFormat="1" ht="30" x14ac:dyDescent="0.2">
      <c r="A14" s="1" t="s">
        <v>26</v>
      </c>
      <c r="B14" s="1" t="s">
        <v>179</v>
      </c>
      <c r="C14" s="1" t="s">
        <v>27</v>
      </c>
      <c r="D14" s="3" t="s">
        <v>29</v>
      </c>
      <c r="E14" s="3" t="s">
        <v>28</v>
      </c>
      <c r="F14" s="3" t="s">
        <v>177</v>
      </c>
      <c r="G14" s="6" t="s">
        <v>10</v>
      </c>
      <c r="H14" s="13">
        <v>44239</v>
      </c>
      <c r="I14" s="4">
        <v>44250</v>
      </c>
      <c r="J14" s="23" t="s">
        <v>11</v>
      </c>
      <c r="K14" s="3" t="s">
        <v>275</v>
      </c>
      <c r="L14" s="9"/>
    </row>
    <row r="15" spans="1:12" s="8" customFormat="1" ht="30" x14ac:dyDescent="0.2">
      <c r="A15" s="1" t="s">
        <v>130</v>
      </c>
      <c r="B15" s="1" t="s">
        <v>131</v>
      </c>
      <c r="C15" s="1" t="s">
        <v>131</v>
      </c>
      <c r="D15" s="1" t="s">
        <v>193</v>
      </c>
      <c r="E15" s="6" t="s">
        <v>10</v>
      </c>
      <c r="F15" s="3" t="s">
        <v>194</v>
      </c>
      <c r="G15" s="1" t="s">
        <v>129</v>
      </c>
      <c r="H15" s="4">
        <v>44242</v>
      </c>
      <c r="I15" s="4">
        <v>44250</v>
      </c>
      <c r="J15" s="23" t="s">
        <v>11</v>
      </c>
      <c r="K15" s="1"/>
      <c r="L15" s="1"/>
    </row>
    <row r="16" spans="1:12" ht="30" x14ac:dyDescent="0.2">
      <c r="A16" s="5" t="s">
        <v>36</v>
      </c>
      <c r="B16" s="3" t="s">
        <v>46</v>
      </c>
      <c r="C16" s="3" t="s">
        <v>49</v>
      </c>
      <c r="D16" s="3" t="s">
        <v>47</v>
      </c>
      <c r="E16" s="6" t="s">
        <v>51</v>
      </c>
      <c r="F16" s="3" t="s">
        <v>50</v>
      </c>
      <c r="G16" s="1" t="s">
        <v>18</v>
      </c>
      <c r="H16" s="4">
        <v>44222</v>
      </c>
      <c r="I16" s="4">
        <v>44250</v>
      </c>
      <c r="J16" s="23" t="s">
        <v>11</v>
      </c>
      <c r="K16" s="1"/>
      <c r="L16" s="1"/>
    </row>
    <row r="17" spans="1:12" ht="75" x14ac:dyDescent="0.2">
      <c r="A17" s="3" t="s">
        <v>78</v>
      </c>
      <c r="B17" s="1" t="s">
        <v>79</v>
      </c>
      <c r="C17" s="3" t="s">
        <v>80</v>
      </c>
      <c r="D17" s="3" t="s">
        <v>116</v>
      </c>
      <c r="E17" s="6" t="s">
        <v>10</v>
      </c>
      <c r="F17" s="3" t="s">
        <v>50</v>
      </c>
      <c r="G17" s="1" t="s">
        <v>76</v>
      </c>
      <c r="H17" s="4">
        <v>44237</v>
      </c>
      <c r="I17" s="4">
        <v>44250</v>
      </c>
      <c r="J17" s="23" t="s">
        <v>11</v>
      </c>
      <c r="K17" s="1"/>
      <c r="L17" s="1"/>
    </row>
    <row r="18" spans="1:12" ht="144.75" customHeight="1" x14ac:dyDescent="0.2">
      <c r="A18" s="3" t="s">
        <v>148</v>
      </c>
      <c r="B18" s="3" t="s">
        <v>163</v>
      </c>
      <c r="C18" s="6" t="s">
        <v>10</v>
      </c>
      <c r="D18" s="3" t="s">
        <v>164</v>
      </c>
      <c r="E18" s="6" t="s">
        <v>10</v>
      </c>
      <c r="F18" s="1" t="s">
        <v>59</v>
      </c>
      <c r="G18" s="3" t="s">
        <v>196</v>
      </c>
      <c r="H18" s="4">
        <v>44246</v>
      </c>
      <c r="I18" s="4">
        <v>44250</v>
      </c>
      <c r="J18" s="23" t="s">
        <v>12</v>
      </c>
      <c r="K18" s="3" t="s">
        <v>147</v>
      </c>
      <c r="L18" s="1"/>
    </row>
    <row r="19" spans="1:12" ht="30" x14ac:dyDescent="0.2">
      <c r="A19" s="3" t="s">
        <v>21</v>
      </c>
      <c r="B19" s="1" t="s">
        <v>60</v>
      </c>
      <c r="C19" s="5" t="s">
        <v>22</v>
      </c>
      <c r="D19" s="3" t="s">
        <v>164</v>
      </c>
      <c r="E19" s="6" t="s">
        <v>10</v>
      </c>
      <c r="F19" s="1" t="s">
        <v>59</v>
      </c>
      <c r="G19" s="1" t="s">
        <v>24</v>
      </c>
      <c r="H19" s="4">
        <v>44231</v>
      </c>
      <c r="I19" s="4">
        <v>44250</v>
      </c>
      <c r="J19" s="23" t="s">
        <v>11</v>
      </c>
      <c r="K19" s="1" t="s">
        <v>63</v>
      </c>
      <c r="L19" s="1"/>
    </row>
    <row r="20" spans="1:12" ht="135" x14ac:dyDescent="0.2">
      <c r="A20" s="1" t="s">
        <v>70</v>
      </c>
      <c r="B20" s="1" t="s">
        <v>73</v>
      </c>
      <c r="C20" s="3" t="s">
        <v>74</v>
      </c>
      <c r="D20" s="1" t="s">
        <v>75</v>
      </c>
      <c r="E20" s="6" t="s">
        <v>10</v>
      </c>
      <c r="F20" s="1" t="s">
        <v>77</v>
      </c>
      <c r="G20" s="1" t="s">
        <v>76</v>
      </c>
      <c r="H20" s="4">
        <v>44237</v>
      </c>
      <c r="I20" s="4">
        <v>44252</v>
      </c>
      <c r="J20" s="23" t="s">
        <v>11</v>
      </c>
      <c r="K20" s="3" t="s">
        <v>197</v>
      </c>
      <c r="L20" s="1"/>
    </row>
    <row r="21" spans="1:12" ht="45" x14ac:dyDescent="0.2">
      <c r="A21" s="3" t="s">
        <v>154</v>
      </c>
      <c r="B21" s="3" t="s">
        <v>175</v>
      </c>
      <c r="C21" s="6" t="s">
        <v>10</v>
      </c>
      <c r="D21" s="3" t="s">
        <v>164</v>
      </c>
      <c r="E21" s="6" t="s">
        <v>10</v>
      </c>
      <c r="F21" s="1" t="s">
        <v>59</v>
      </c>
      <c r="G21" s="3" t="s">
        <v>196</v>
      </c>
      <c r="H21" s="4">
        <v>44246</v>
      </c>
      <c r="I21" s="4">
        <v>44253</v>
      </c>
      <c r="J21" s="23" t="s">
        <v>183</v>
      </c>
      <c r="K21" s="3" t="s">
        <v>147</v>
      </c>
      <c r="L21" s="3" t="s">
        <v>304</v>
      </c>
    </row>
    <row r="22" spans="1:12" ht="30" x14ac:dyDescent="0.2">
      <c r="A22" s="3" t="s">
        <v>153</v>
      </c>
      <c r="B22" s="3" t="s">
        <v>174</v>
      </c>
      <c r="C22" s="6" t="s">
        <v>10</v>
      </c>
      <c r="D22" s="3" t="s">
        <v>164</v>
      </c>
      <c r="E22" s="6" t="s">
        <v>10</v>
      </c>
      <c r="F22" s="1" t="s">
        <v>59</v>
      </c>
      <c r="G22" s="3" t="s">
        <v>196</v>
      </c>
      <c r="H22" s="4">
        <v>44246</v>
      </c>
      <c r="I22" s="4">
        <v>44253</v>
      </c>
      <c r="J22" s="23" t="s">
        <v>183</v>
      </c>
      <c r="K22" s="3" t="s">
        <v>147</v>
      </c>
      <c r="L22" s="3" t="s">
        <v>249</v>
      </c>
    </row>
    <row r="23" spans="1:12" ht="30" x14ac:dyDescent="0.2">
      <c r="A23" s="3" t="s">
        <v>146</v>
      </c>
      <c r="B23" s="3" t="s">
        <v>162</v>
      </c>
      <c r="C23" s="6" t="s">
        <v>10</v>
      </c>
      <c r="D23" s="3" t="s">
        <v>164</v>
      </c>
      <c r="E23" s="6" t="s">
        <v>10</v>
      </c>
      <c r="F23" s="1" t="s">
        <v>59</v>
      </c>
      <c r="G23" s="3" t="s">
        <v>196</v>
      </c>
      <c r="H23" s="4">
        <v>44246</v>
      </c>
      <c r="I23" s="4">
        <v>44253</v>
      </c>
      <c r="J23" s="23" t="s">
        <v>183</v>
      </c>
      <c r="K23" s="3" t="s">
        <v>147</v>
      </c>
      <c r="L23" s="3" t="s">
        <v>249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eza_bbdd">
                <anchor>
                  <from>
                    <xdr:col>12</xdr:col>
                    <xdr:colOff>381000</xdr:colOff>
                    <xdr:row>0</xdr:row>
                    <xdr:rowOff>361950</xdr:rowOff>
                  </from>
                  <to>
                    <xdr:col>19</xdr:col>
                    <xdr:colOff>95250</xdr:colOff>
                    <xdr:row>3</xdr:row>
                    <xdr:rowOff>1333500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" operator="containsText" id="{E607FA21-C033-411F-B902-0ADD29C67105}">
            <xm:f>NOT(ISERROR(SEARCH("CONSULTA",J4)))</xm:f>
            <xm:f>"CONSULTA"</xm:f>
            <x14:dxf>
              <fill>
                <patternFill>
                  <bgColor rgb="FF7030A0"/>
                </patternFill>
              </fill>
            </x14:dxf>
          </x14:cfRule>
          <x14:cfRule type="containsText" priority="15" operator="containsText" id="{6020A883-D48D-4E0C-8C2F-6A89284C8D9A}">
            <xm:f>NOT(ISERROR(SEARCH("NOK",J4)))</xm:f>
            <xm:f>"NOK"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16" operator="containsText" id="{835ADC76-6794-4184-A81B-2130FBE5A0C2}">
            <xm:f>NOT(ISERROR(SEARCH("OK",J4)))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17" operator="containsText" id="{8C3F4144-3C8A-41C0-B979-73E29204070D}">
            <xm:f>NOT(ISERROR(SEARCH("POR RESPONDER",J4)))</xm:f>
            <xm:f>"POR RESPONDER"</xm:f>
            <x14:dxf>
              <fill>
                <patternFill>
                  <bgColor rgb="FFFFC000"/>
                </patternFill>
              </fill>
            </x14:dxf>
          </x14:cfRule>
          <x14:cfRule type="containsText" priority="18" operator="containsText" id="{A4F54E76-C1FE-41BA-A97D-B52FA87DF54A}">
            <xm:f>NOT(ISERROR(SEARCH("PEDIDO",J4)))</xm:f>
            <xm:f>"PEDIDO"</xm:f>
            <x14:dxf>
              <fill>
                <patternFill>
                  <bgColor rgb="FFFFFF00"/>
                </patternFill>
              </fill>
            </x14:dxf>
          </x14:cfRule>
          <xm:sqref>J4:J23</xm:sqref>
        </x14:conditionalFormatting>
        <x14:conditionalFormatting xmlns:xm="http://schemas.microsoft.com/office/excel/2006/main">
          <x14:cfRule type="containsText" priority="14" operator="containsText" id="{E2E05372-0D73-4D91-B6C8-36AB1C5A7DF5}">
            <xm:f>NOT(ISERROR(SEARCH("POR ARCHIVAR",J4)))</xm:f>
            <xm:f>"POR ARCHIVAR"</xm:f>
            <x14:dxf>
              <fill>
                <patternFill>
                  <bgColor rgb="FF00B0F0"/>
                </patternFill>
              </fill>
            </x14:dxf>
          </x14:cfRule>
          <xm:sqref>J4:J23</xm:sqref>
        </x14:conditionalFormatting>
        <x14:conditionalFormatting xmlns:xm="http://schemas.microsoft.com/office/excel/2006/main">
          <x14:cfRule type="containsText" priority="7" operator="containsText" id="{42837101-0B42-4E30-871E-D1F0A090F30D}">
            <xm:f>NOT(ISERROR(SEARCH("CONSULTA",J3)))</xm:f>
            <xm:f>"CONSULTA"</xm:f>
            <x14:dxf>
              <fill>
                <patternFill>
                  <bgColor rgb="FF7030A0"/>
                </patternFill>
              </fill>
            </x14:dxf>
          </x14:cfRule>
          <x14:cfRule type="containsText" priority="9" operator="containsText" id="{821C1D8F-F7F5-4556-9318-492D0224F498}">
            <xm:f>NOT(ISERROR(SEARCH("NOK",J3)))</xm:f>
            <xm:f>"NOK"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10" operator="containsText" id="{317881A9-E1FB-4FF1-A018-16BCE6998174}">
            <xm:f>NOT(ISERROR(SEARCH("OK",J3)))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11" operator="containsText" id="{63CBB75E-5845-4D88-AD53-6BC23F9EA4E3}">
            <xm:f>NOT(ISERROR(SEARCH("POR RESPONDER",J3)))</xm:f>
            <xm:f>"POR RESPONDER"</xm:f>
            <x14:dxf>
              <fill>
                <patternFill>
                  <bgColor rgb="FFFFC000"/>
                </patternFill>
              </fill>
            </x14:dxf>
          </x14:cfRule>
          <x14:cfRule type="containsText" priority="12" operator="containsText" id="{2566BA57-D913-4442-8386-21F148F8DCCA}">
            <xm:f>NOT(ISERROR(SEARCH("PEDIDO",J3)))</xm:f>
            <xm:f>"PEDIDO"</xm:f>
            <x14:dxf>
              <fill>
                <patternFill>
                  <bgColor rgb="FFFFFF00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ontainsText" priority="8" operator="containsText" id="{E0183439-097C-4BD3-873C-896709936325}">
            <xm:f>NOT(ISERROR(SEARCH("POR ARCHIVAR",J3)))</xm:f>
            <xm:f>"POR ARCHIVAR"</xm:f>
            <x14:dxf>
              <fill>
                <patternFill>
                  <bgColor rgb="FF00B0F0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ontainsText" priority="1" operator="containsText" id="{63D78ABA-E01B-4E98-8949-C08219161AC2}">
            <xm:f>NOT(ISERROR(SEARCH("CONSULTA",J2)))</xm:f>
            <xm:f>"CONSULTA"</xm:f>
            <x14:dxf>
              <fill>
                <patternFill>
                  <bgColor rgb="FF7030A0"/>
                </patternFill>
              </fill>
            </x14:dxf>
          </x14:cfRule>
          <x14:cfRule type="containsText" priority="3" operator="containsText" id="{862C0B34-6C52-4CF4-96C0-E41C13A27C05}">
            <xm:f>NOT(ISERROR(SEARCH("NOK",J2)))</xm:f>
            <xm:f>"NOK"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EDB41DA2-D617-4971-8C7C-48EE67E99AD8}">
            <xm:f>NOT(ISERROR(SEARCH("OK",J2)))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5" operator="containsText" id="{F95546F9-4721-4C85-AF34-9130EC22FB25}">
            <xm:f>NOT(ISERROR(SEARCH("POR RESPONDER",J2)))</xm:f>
            <xm:f>"POR RESPONDER"</xm:f>
            <x14:dxf>
              <fill>
                <patternFill>
                  <bgColor rgb="FFFFC000"/>
                </patternFill>
              </fill>
            </x14:dxf>
          </x14:cfRule>
          <x14:cfRule type="containsText" priority="6" operator="containsText" id="{2DED7C89-B759-4FA4-BCC0-38870C51609A}">
            <xm:f>NOT(ISERROR(SEARCH("PEDIDO",J2)))</xm:f>
            <xm:f>"PEDIDO"</xm:f>
            <x14:dxf>
              <fill>
                <patternFill>
                  <bgColor rgb="FFFFFF00"/>
                </patternFill>
              </fill>
            </x14:dxf>
          </x14:cfRule>
          <xm:sqref>J2</xm:sqref>
        </x14:conditionalFormatting>
        <x14:conditionalFormatting xmlns:xm="http://schemas.microsoft.com/office/excel/2006/main">
          <x14:cfRule type="containsText" priority="2" operator="containsText" id="{53171E8C-1921-420B-98BA-4914D3616A54}">
            <xm:f>NOT(ISERROR(SEARCH("POR ARCHIVAR",J2)))</xm:f>
            <xm:f>"POR ARCHIVAR"</xm:f>
            <x14:dxf>
              <fill>
                <patternFill>
                  <bgColor rgb="FF00B0F0"/>
                </patternFill>
              </fill>
            </x14:dxf>
          </x14:cfRule>
          <xm:sqref>J2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78CF8C-B3CA-4FA9-A106-F1A7E8CDA853}">
          <x14:formula1>
            <xm:f>OK!$Z$2:$Z$8</xm:f>
          </x14:formula1>
          <xm:sqref>J2:J23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5E98-E42B-4F3D-8B87-EC3A712EE19A}">
  <sheetPr codeName="Hoja3"/>
  <dimension ref="A1:L73"/>
  <sheetViews>
    <sheetView zoomScale="70" zoomScaleNormal="70" workbookViewId="0">
      <selection activeCell="E4" sqref="E4"/>
    </sheetView>
  </sheetViews>
  <sheetFormatPr baseColWidth="10" defaultRowHeight="15" x14ac:dyDescent="0.25"/>
  <cols>
    <col min="1" max="1" width="23.85546875" bestFit="1" customWidth="1"/>
    <col min="2" max="2" width="46.42578125" bestFit="1" customWidth="1"/>
    <col min="3" max="3" width="20.85546875" customWidth="1"/>
    <col min="4" max="4" width="14.85546875" customWidth="1"/>
    <col min="5" max="5" width="17.140625" customWidth="1"/>
    <col min="6" max="6" width="34.28515625" bestFit="1" customWidth="1"/>
    <col min="7" max="7" width="24.28515625" bestFit="1" customWidth="1"/>
    <col min="8" max="8" width="20.5703125" bestFit="1" customWidth="1"/>
    <col min="9" max="9" width="28.140625" bestFit="1" customWidth="1"/>
    <col min="10" max="10" width="16.42578125" bestFit="1" customWidth="1"/>
    <col min="11" max="11" width="28.85546875" customWidth="1"/>
    <col min="12" max="12" width="34.5703125" bestFit="1" customWidth="1"/>
  </cols>
  <sheetData>
    <row r="1" spans="1:12" s="2" customFormat="1" ht="30" x14ac:dyDescent="0.2">
      <c r="A1" s="14" t="s">
        <v>0</v>
      </c>
      <c r="B1" s="14" t="s">
        <v>1</v>
      </c>
      <c r="C1" s="14" t="s">
        <v>23</v>
      </c>
      <c r="D1" s="14" t="s">
        <v>4</v>
      </c>
      <c r="E1" s="14" t="s">
        <v>2</v>
      </c>
      <c r="F1" s="14" t="s">
        <v>7</v>
      </c>
      <c r="G1" s="14" t="s">
        <v>3</v>
      </c>
      <c r="H1" s="11" t="s">
        <v>247</v>
      </c>
      <c r="I1" s="11" t="s">
        <v>246</v>
      </c>
      <c r="J1" s="14" t="s">
        <v>8</v>
      </c>
      <c r="K1" s="14" t="s">
        <v>9</v>
      </c>
      <c r="L1" s="11" t="s">
        <v>184</v>
      </c>
    </row>
    <row r="2" spans="1:12" s="2" customFormat="1" ht="45" x14ac:dyDescent="0.2">
      <c r="A2" s="15" t="s">
        <v>100</v>
      </c>
      <c r="B2" s="15" t="s">
        <v>100</v>
      </c>
      <c r="C2" s="17" t="s">
        <v>10</v>
      </c>
      <c r="D2" s="11" t="s">
        <v>267</v>
      </c>
      <c r="E2" s="17" t="s">
        <v>10</v>
      </c>
      <c r="F2" s="11" t="s">
        <v>266</v>
      </c>
      <c r="G2" s="19" t="s">
        <v>245</v>
      </c>
      <c r="H2" s="37">
        <v>44257</v>
      </c>
      <c r="I2" s="37">
        <v>44257</v>
      </c>
      <c r="J2" s="23" t="s">
        <v>11</v>
      </c>
      <c r="K2" s="11" t="s">
        <v>268</v>
      </c>
      <c r="L2" s="11"/>
    </row>
    <row r="3" spans="1:12" ht="45" x14ac:dyDescent="0.25">
      <c r="A3" s="15" t="s">
        <v>199</v>
      </c>
      <c r="B3" s="15" t="s">
        <v>200</v>
      </c>
      <c r="C3" s="17" t="s">
        <v>10</v>
      </c>
      <c r="D3" s="18" t="s">
        <v>201</v>
      </c>
      <c r="E3" s="17" t="s">
        <v>10</v>
      </c>
      <c r="F3" s="18" t="s">
        <v>202</v>
      </c>
      <c r="G3" s="19" t="s">
        <v>245</v>
      </c>
      <c r="H3" s="20">
        <v>44253</v>
      </c>
      <c r="I3" s="20">
        <v>44253</v>
      </c>
      <c r="J3" s="23" t="s">
        <v>11</v>
      </c>
      <c r="K3" s="19"/>
      <c r="L3" s="19"/>
    </row>
    <row r="4" spans="1:12" x14ac:dyDescent="0.25">
      <c r="A4" s="15" t="s">
        <v>203</v>
      </c>
      <c r="B4" s="15" t="s">
        <v>204</v>
      </c>
      <c r="C4" s="17" t="s">
        <v>10</v>
      </c>
      <c r="D4" s="19" t="s">
        <v>165</v>
      </c>
      <c r="E4" s="17" t="s">
        <v>10</v>
      </c>
      <c r="F4" s="19" t="s">
        <v>166</v>
      </c>
      <c r="G4" s="19" t="s">
        <v>245</v>
      </c>
      <c r="H4" s="20">
        <v>44253</v>
      </c>
      <c r="I4" s="20">
        <v>44257</v>
      </c>
      <c r="J4" s="23" t="s">
        <v>12</v>
      </c>
      <c r="K4" s="19" t="s">
        <v>264</v>
      </c>
      <c r="L4" s="19"/>
    </row>
    <row r="5" spans="1:12" x14ac:dyDescent="0.25">
      <c r="A5" s="15" t="s">
        <v>205</v>
      </c>
      <c r="B5" s="15" t="s">
        <v>206</v>
      </c>
      <c r="C5" s="17" t="s">
        <v>10</v>
      </c>
      <c r="D5" s="18" t="s">
        <v>207</v>
      </c>
      <c r="E5" s="17" t="s">
        <v>10</v>
      </c>
      <c r="F5" s="18" t="s">
        <v>208</v>
      </c>
      <c r="G5" s="19" t="s">
        <v>245</v>
      </c>
      <c r="H5" s="20">
        <v>44253</v>
      </c>
      <c r="I5" s="20">
        <v>44253</v>
      </c>
      <c r="J5" s="23" t="s">
        <v>11</v>
      </c>
      <c r="K5" s="19"/>
      <c r="L5" s="19"/>
    </row>
    <row r="6" spans="1:12" x14ac:dyDescent="0.25">
      <c r="A6" s="15" t="s">
        <v>209</v>
      </c>
      <c r="B6" s="15" t="s">
        <v>210</v>
      </c>
      <c r="C6" s="17" t="s">
        <v>10</v>
      </c>
      <c r="D6" s="19" t="s">
        <v>207</v>
      </c>
      <c r="E6" s="17" t="s">
        <v>10</v>
      </c>
      <c r="F6" s="19" t="s">
        <v>208</v>
      </c>
      <c r="G6" s="19" t="s">
        <v>245</v>
      </c>
      <c r="H6" s="20">
        <v>44253</v>
      </c>
      <c r="I6" s="20">
        <v>44253</v>
      </c>
      <c r="J6" s="23" t="s">
        <v>11</v>
      </c>
      <c r="K6" s="19"/>
      <c r="L6" s="19"/>
    </row>
    <row r="7" spans="1:12" x14ac:dyDescent="0.25">
      <c r="A7" s="15" t="s">
        <v>211</v>
      </c>
      <c r="B7" s="15" t="s">
        <v>212</v>
      </c>
      <c r="C7" s="17" t="s">
        <v>10</v>
      </c>
      <c r="D7" s="18" t="s">
        <v>207</v>
      </c>
      <c r="E7" s="17" t="s">
        <v>10</v>
      </c>
      <c r="F7" s="18" t="s">
        <v>208</v>
      </c>
      <c r="G7" s="19" t="s">
        <v>245</v>
      </c>
      <c r="H7" s="20">
        <v>44253</v>
      </c>
      <c r="I7" s="20">
        <v>44253</v>
      </c>
      <c r="J7" s="23" t="s">
        <v>11</v>
      </c>
      <c r="K7" s="19"/>
      <c r="L7" s="19"/>
    </row>
    <row r="8" spans="1:12" ht="90" x14ac:dyDescent="0.25">
      <c r="A8" s="15" t="s">
        <v>213</v>
      </c>
      <c r="B8" s="15" t="s">
        <v>214</v>
      </c>
      <c r="C8" s="17" t="s">
        <v>10</v>
      </c>
      <c r="D8" s="19" t="s">
        <v>215</v>
      </c>
      <c r="E8" s="17" t="s">
        <v>10</v>
      </c>
      <c r="F8" s="19" t="s">
        <v>216</v>
      </c>
      <c r="G8" s="19" t="s">
        <v>245</v>
      </c>
      <c r="H8" s="20">
        <v>44253</v>
      </c>
      <c r="I8" s="20">
        <v>44257</v>
      </c>
      <c r="J8" s="23" t="s">
        <v>11</v>
      </c>
      <c r="K8" s="19" t="s">
        <v>265</v>
      </c>
      <c r="L8" s="19"/>
    </row>
    <row r="9" spans="1:12" ht="45" x14ac:dyDescent="0.25">
      <c r="A9" s="15" t="s">
        <v>217</v>
      </c>
      <c r="B9" s="15" t="s">
        <v>218</v>
      </c>
      <c r="C9" s="17" t="s">
        <v>10</v>
      </c>
      <c r="D9" s="18" t="s">
        <v>219</v>
      </c>
      <c r="E9" s="17" t="s">
        <v>10</v>
      </c>
      <c r="F9" s="18" t="s">
        <v>220</v>
      </c>
      <c r="G9" s="19" t="s">
        <v>245</v>
      </c>
      <c r="H9" s="20">
        <v>44253</v>
      </c>
      <c r="I9" s="20">
        <v>44253</v>
      </c>
      <c r="J9" s="23" t="s">
        <v>11</v>
      </c>
      <c r="K9" s="19"/>
      <c r="L9" s="19"/>
    </row>
    <row r="10" spans="1:12" ht="45" x14ac:dyDescent="0.25">
      <c r="A10" s="15" t="s">
        <v>221</v>
      </c>
      <c r="B10" s="15" t="s">
        <v>222</v>
      </c>
      <c r="C10" s="17" t="s">
        <v>10</v>
      </c>
      <c r="D10" s="19" t="s">
        <v>219</v>
      </c>
      <c r="E10" s="17" t="s">
        <v>10</v>
      </c>
      <c r="F10" s="19" t="s">
        <v>220</v>
      </c>
      <c r="G10" s="19" t="s">
        <v>245</v>
      </c>
      <c r="H10" s="20">
        <v>44253</v>
      </c>
      <c r="I10" s="20">
        <v>44253</v>
      </c>
      <c r="J10" s="23" t="s">
        <v>11</v>
      </c>
      <c r="K10" s="19"/>
      <c r="L10" s="19"/>
    </row>
    <row r="11" spans="1:12" ht="45" x14ac:dyDescent="0.25">
      <c r="A11" s="15" t="s">
        <v>223</v>
      </c>
      <c r="B11" s="15" t="s">
        <v>224</v>
      </c>
      <c r="C11" s="17" t="s">
        <v>10</v>
      </c>
      <c r="D11" s="18" t="s">
        <v>219</v>
      </c>
      <c r="E11" s="17" t="s">
        <v>10</v>
      </c>
      <c r="F11" s="18" t="s">
        <v>220</v>
      </c>
      <c r="G11" s="19" t="s">
        <v>245</v>
      </c>
      <c r="H11" s="20">
        <v>44253</v>
      </c>
      <c r="I11" s="20">
        <v>44253</v>
      </c>
      <c r="J11" s="23" t="s">
        <v>11</v>
      </c>
      <c r="K11" s="19"/>
      <c r="L11" s="19"/>
    </row>
    <row r="12" spans="1:12" ht="30" x14ac:dyDescent="0.25">
      <c r="A12" s="15" t="s">
        <v>225</v>
      </c>
      <c r="B12" s="15" t="s">
        <v>226</v>
      </c>
      <c r="C12" s="17" t="s">
        <v>10</v>
      </c>
      <c r="D12" s="19" t="s">
        <v>227</v>
      </c>
      <c r="E12" s="17" t="s">
        <v>10</v>
      </c>
      <c r="F12" s="19" t="s">
        <v>228</v>
      </c>
      <c r="G12" s="19" t="s">
        <v>245</v>
      </c>
      <c r="H12" s="20">
        <v>44253</v>
      </c>
      <c r="I12" s="20">
        <v>44253</v>
      </c>
      <c r="J12" s="23" t="s">
        <v>11</v>
      </c>
      <c r="K12" s="19"/>
      <c r="L12" s="19"/>
    </row>
    <row r="13" spans="1:12" x14ac:dyDescent="0.25">
      <c r="A13" s="16">
        <v>654546</v>
      </c>
      <c r="B13" s="15" t="s">
        <v>229</v>
      </c>
      <c r="C13" s="17" t="s">
        <v>10</v>
      </c>
      <c r="D13" s="18" t="s">
        <v>230</v>
      </c>
      <c r="E13" s="17" t="s">
        <v>10</v>
      </c>
      <c r="F13" s="18" t="s">
        <v>231</v>
      </c>
      <c r="G13" s="19" t="s">
        <v>245</v>
      </c>
      <c r="H13" s="20">
        <v>44253</v>
      </c>
      <c r="I13" s="20">
        <v>44253</v>
      </c>
      <c r="J13" s="23" t="s">
        <v>11</v>
      </c>
      <c r="K13" s="19"/>
      <c r="L13" s="19"/>
    </row>
    <row r="14" spans="1:12" x14ac:dyDescent="0.25">
      <c r="A14" s="15">
        <v>654547</v>
      </c>
      <c r="B14" s="15" t="s">
        <v>232</v>
      </c>
      <c r="C14" s="17" t="s">
        <v>10</v>
      </c>
      <c r="D14" s="19" t="s">
        <v>230</v>
      </c>
      <c r="E14" s="17" t="s">
        <v>10</v>
      </c>
      <c r="F14" s="19" t="s">
        <v>231</v>
      </c>
      <c r="G14" s="19" t="s">
        <v>245</v>
      </c>
      <c r="H14" s="20">
        <v>44253</v>
      </c>
      <c r="I14" s="20">
        <v>44253</v>
      </c>
      <c r="J14" s="23" t="s">
        <v>11</v>
      </c>
      <c r="K14" s="19"/>
      <c r="L14" s="19"/>
    </row>
    <row r="15" spans="1:12" ht="30" x14ac:dyDescent="0.25">
      <c r="A15" s="15" t="s">
        <v>233</v>
      </c>
      <c r="B15" s="15" t="s">
        <v>234</v>
      </c>
      <c r="C15" s="17" t="s">
        <v>10</v>
      </c>
      <c r="D15" s="18" t="s">
        <v>235</v>
      </c>
      <c r="E15" s="17" t="s">
        <v>10</v>
      </c>
      <c r="F15" s="18" t="s">
        <v>236</v>
      </c>
      <c r="G15" s="19" t="s">
        <v>245</v>
      </c>
      <c r="H15" s="20">
        <v>44253</v>
      </c>
      <c r="I15" s="20">
        <v>44253</v>
      </c>
      <c r="J15" s="23" t="s">
        <v>11</v>
      </c>
      <c r="K15" s="19"/>
      <c r="L15" s="19"/>
    </row>
    <row r="16" spans="1:12" ht="30" x14ac:dyDescent="0.25">
      <c r="A16" s="15" t="s">
        <v>237</v>
      </c>
      <c r="B16" s="15" t="s">
        <v>238</v>
      </c>
      <c r="C16" s="17" t="s">
        <v>10</v>
      </c>
      <c r="D16" s="19" t="s">
        <v>235</v>
      </c>
      <c r="E16" s="17" t="s">
        <v>10</v>
      </c>
      <c r="F16" s="19" t="s">
        <v>236</v>
      </c>
      <c r="G16" s="19" t="s">
        <v>245</v>
      </c>
      <c r="H16" s="20">
        <v>44253</v>
      </c>
      <c r="I16" s="20">
        <v>44253</v>
      </c>
      <c r="J16" s="23" t="s">
        <v>11</v>
      </c>
      <c r="K16" s="19"/>
      <c r="L16" s="19"/>
    </row>
    <row r="17" spans="1:12" ht="30" x14ac:dyDescent="0.25">
      <c r="A17" s="15" t="s">
        <v>239</v>
      </c>
      <c r="B17" s="15" t="s">
        <v>240</v>
      </c>
      <c r="C17" s="17" t="s">
        <v>10</v>
      </c>
      <c r="D17" s="18" t="s">
        <v>235</v>
      </c>
      <c r="E17" s="17" t="s">
        <v>10</v>
      </c>
      <c r="F17" s="18" t="s">
        <v>236</v>
      </c>
      <c r="G17" s="19" t="s">
        <v>245</v>
      </c>
      <c r="H17" s="20">
        <v>44253</v>
      </c>
      <c r="I17" s="20">
        <v>44253</v>
      </c>
      <c r="J17" s="23" t="s">
        <v>11</v>
      </c>
      <c r="K17" s="19"/>
      <c r="L17" s="19"/>
    </row>
    <row r="18" spans="1:12" ht="30" x14ac:dyDescent="0.25">
      <c r="A18" s="15" t="s">
        <v>241</v>
      </c>
      <c r="B18" s="15" t="s">
        <v>242</v>
      </c>
      <c r="C18" s="17" t="s">
        <v>10</v>
      </c>
      <c r="D18" s="19" t="s">
        <v>235</v>
      </c>
      <c r="E18" s="17" t="s">
        <v>10</v>
      </c>
      <c r="F18" s="19" t="s">
        <v>236</v>
      </c>
      <c r="G18" s="19" t="s">
        <v>245</v>
      </c>
      <c r="H18" s="20">
        <v>44253</v>
      </c>
      <c r="I18" s="20">
        <v>44253</v>
      </c>
      <c r="J18" s="23" t="s">
        <v>11</v>
      </c>
      <c r="K18" s="19"/>
      <c r="L18" s="19"/>
    </row>
    <row r="19" spans="1:12" x14ac:dyDescent="0.25">
      <c r="A19" s="15" t="s">
        <v>243</v>
      </c>
      <c r="B19" s="15" t="s">
        <v>244</v>
      </c>
      <c r="C19" s="17" t="s">
        <v>10</v>
      </c>
      <c r="D19" s="18"/>
      <c r="E19" s="17" t="s">
        <v>10</v>
      </c>
      <c r="F19" s="18"/>
      <c r="G19" s="19" t="s">
        <v>245</v>
      </c>
      <c r="H19" s="20">
        <v>44253</v>
      </c>
      <c r="I19" s="20">
        <v>44253</v>
      </c>
      <c r="J19" s="23" t="s">
        <v>10</v>
      </c>
      <c r="K19" s="19" t="s">
        <v>248</v>
      </c>
      <c r="L19" s="19"/>
    </row>
    <row r="67" spans="11:11" ht="15.75" x14ac:dyDescent="0.25">
      <c r="K67" s="12"/>
    </row>
    <row r="68" spans="11:11" ht="15.75" x14ac:dyDescent="0.25">
      <c r="K68" s="2"/>
    </row>
    <row r="69" spans="11:11" ht="15.75" x14ac:dyDescent="0.25">
      <c r="K69" s="2"/>
    </row>
    <row r="70" spans="11:11" ht="15.75" x14ac:dyDescent="0.25">
      <c r="K70" s="2"/>
    </row>
    <row r="71" spans="11:11" ht="15.75" x14ac:dyDescent="0.25">
      <c r="K71" s="2"/>
    </row>
    <row r="72" spans="11:11" ht="15.75" x14ac:dyDescent="0.25">
      <c r="K72" s="2"/>
    </row>
    <row r="73" spans="11:11" ht="15.75" x14ac:dyDescent="0.25">
      <c r="K73" s="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6B26403-2498-46BB-82C8-78A5856F967D}">
            <xm:f>NOT(ISERROR(SEARCH("CONSULTA",J2)))</xm:f>
            <xm:f>"CONSULTA"</xm:f>
            <x14:dxf>
              <fill>
                <patternFill>
                  <bgColor rgb="FF7030A0"/>
                </patternFill>
              </fill>
            </x14:dxf>
          </x14:cfRule>
          <x14:cfRule type="containsText" priority="3" operator="containsText" id="{103132DC-A673-43A7-B670-D6094551DA2B}">
            <xm:f>NOT(ISERROR(SEARCH("NOK",J2)))</xm:f>
            <xm:f>"NOK"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2095D6E0-6931-4AF2-9367-8C36F5F92114}">
            <xm:f>NOT(ISERROR(SEARCH("OK",J2)))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5" operator="containsText" id="{92E93C97-D0AF-4A78-8679-9F2292A6EF63}">
            <xm:f>NOT(ISERROR(SEARCH("POR RESPONDER",J2)))</xm:f>
            <xm:f>"POR RESPONDER"</xm:f>
            <x14:dxf>
              <fill>
                <patternFill>
                  <bgColor rgb="FFFFC000"/>
                </patternFill>
              </fill>
            </x14:dxf>
          </x14:cfRule>
          <x14:cfRule type="containsText" priority="6" operator="containsText" id="{BB139137-09D6-4959-A6C6-A99E08988205}">
            <xm:f>NOT(ISERROR(SEARCH("PEDIDO",J2)))</xm:f>
            <xm:f>"PEDIDO"</xm:f>
            <x14:dxf>
              <fill>
                <patternFill>
                  <bgColor rgb="FFFFFF00"/>
                </patternFill>
              </fill>
            </x14:dxf>
          </x14:cfRule>
          <xm:sqref>J2:J19</xm:sqref>
        </x14:conditionalFormatting>
        <x14:conditionalFormatting xmlns:xm="http://schemas.microsoft.com/office/excel/2006/main">
          <x14:cfRule type="containsText" priority="2" operator="containsText" id="{82B97159-9C19-4946-813A-1B32E96B0BB8}">
            <xm:f>NOT(ISERROR(SEARCH("POR ARCHIVAR",J2)))</xm:f>
            <xm:f>"POR ARCHIVAR"</xm:f>
            <x14:dxf>
              <fill>
                <patternFill>
                  <bgColor rgb="FF00B0F0"/>
                </patternFill>
              </fill>
            </x14:dxf>
          </x14:cfRule>
          <xm:sqref>J2:J19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A9ED54-FD82-4F93-B438-F568068090C1}">
          <x14:formula1>
            <xm:f>OK!$Z$2:$Z$8</xm:f>
          </x14:formula1>
          <xm:sqref>J2:J19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CF05F-4F7E-4FBC-9BDA-F20279B1567D}">
  <sheetPr codeName="Hoja4"/>
  <dimension ref="A1:F6"/>
  <sheetViews>
    <sheetView tabSelected="1" zoomScale="90" zoomScaleNormal="90" workbookViewId="0">
      <selection activeCell="E13" sqref="E13"/>
    </sheetView>
  </sheetViews>
  <sheetFormatPr baseColWidth="10" defaultRowHeight="15" x14ac:dyDescent="0.25"/>
  <cols>
    <col min="1" max="1" width="19.5703125" bestFit="1" customWidth="1"/>
    <col min="2" max="2" width="56.42578125" bestFit="1" customWidth="1"/>
    <col min="3" max="3" width="25.42578125" bestFit="1" customWidth="1"/>
    <col min="4" max="4" width="18.28515625" bestFit="1" customWidth="1"/>
    <col min="5" max="5" width="38.42578125" bestFit="1" customWidth="1"/>
    <col min="6" max="6" width="23.140625" bestFit="1" customWidth="1"/>
  </cols>
  <sheetData>
    <row r="1" spans="1:6" x14ac:dyDescent="0.25">
      <c r="A1" s="38" t="s">
        <v>0</v>
      </c>
      <c r="B1" s="38" t="s">
        <v>1</v>
      </c>
      <c r="C1" s="38" t="s">
        <v>23</v>
      </c>
      <c r="D1" s="38" t="s">
        <v>4</v>
      </c>
      <c r="E1" s="38" t="s">
        <v>271</v>
      </c>
      <c r="F1" s="38" t="s">
        <v>8</v>
      </c>
    </row>
    <row r="2" spans="1:6" ht="30" x14ac:dyDescent="0.25">
      <c r="A2" s="1" t="s">
        <v>154</v>
      </c>
      <c r="B2" s="1" t="s">
        <v>175</v>
      </c>
      <c r="C2" s="1" t="s">
        <v>10</v>
      </c>
      <c r="D2" s="3" t="s">
        <v>164</v>
      </c>
      <c r="E2" s="1" t="s">
        <v>272</v>
      </c>
      <c r="F2" s="3" t="s">
        <v>273</v>
      </c>
    </row>
    <row r="3" spans="1:6" ht="30" x14ac:dyDescent="0.25">
      <c r="A3" s="1" t="s">
        <v>153</v>
      </c>
      <c r="B3" s="1" t="s">
        <v>174</v>
      </c>
      <c r="C3" s="1" t="s">
        <v>10</v>
      </c>
      <c r="D3" s="3" t="s">
        <v>164</v>
      </c>
      <c r="E3" s="1" t="s">
        <v>272</v>
      </c>
      <c r="F3" s="3" t="s">
        <v>273</v>
      </c>
    </row>
    <row r="4" spans="1:6" ht="30" x14ac:dyDescent="0.25">
      <c r="A4" s="1" t="s">
        <v>146</v>
      </c>
      <c r="B4" s="1" t="s">
        <v>162</v>
      </c>
      <c r="C4" s="1" t="s">
        <v>10</v>
      </c>
      <c r="D4" s="3" t="s">
        <v>164</v>
      </c>
      <c r="E4" s="1" t="s">
        <v>272</v>
      </c>
      <c r="F4" s="3" t="s">
        <v>273</v>
      </c>
    </row>
    <row r="5" spans="1:6" ht="30" x14ac:dyDescent="0.25">
      <c r="A5" s="1" t="s">
        <v>70</v>
      </c>
      <c r="B5" s="1" t="s">
        <v>73</v>
      </c>
      <c r="C5" s="1" t="s">
        <v>74</v>
      </c>
      <c r="D5" s="3" t="s">
        <v>75</v>
      </c>
      <c r="E5" s="1" t="s">
        <v>75</v>
      </c>
      <c r="F5" s="3" t="s">
        <v>273</v>
      </c>
    </row>
    <row r="6" spans="1:6" ht="30" x14ac:dyDescent="0.25">
      <c r="A6" s="1" t="s">
        <v>149</v>
      </c>
      <c r="B6" s="1" t="s">
        <v>169</v>
      </c>
      <c r="C6" s="1" t="s">
        <v>10</v>
      </c>
      <c r="D6" s="3" t="s">
        <v>274</v>
      </c>
      <c r="E6" s="1" t="s">
        <v>274</v>
      </c>
      <c r="F6" s="3" t="s">
        <v>273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D4934B4-15E2-4DF6-A309-4742ED0FBFEE}">
            <xm:f>NOT(ISERROR(SEARCH("A ESPERA DE ACTUALIZACIÓN",F2)))</xm:f>
            <xm:f>"A ESPERA DE ACTUALIZACIÓN"</xm:f>
            <x14:dxf>
              <fill>
                <patternFill>
                  <bgColor rgb="FFFF0000"/>
                </patternFill>
              </fill>
            </x14:dxf>
          </x14:cfRule>
          <x14:cfRule type="containsText" priority="2" operator="containsText" id="{F8AE1BD3-9B9D-44DB-9148-7341DEC51A20}">
            <xm:f>NOT(ISERROR(SEARCH("OK",F2)))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3" operator="containsText" id="{58488586-E5B9-4AC8-B0D8-195702092719}">
            <xm:f>NOT(ISERROR(SEARCH("PENDIENTE",F2)))</xm:f>
            <xm:f>"PENDIENTE"</xm:f>
            <x14:dxf>
              <fill>
                <patternFill>
                  <bgColor rgb="FFFFC000"/>
                </patternFill>
              </fill>
            </x14:dxf>
          </x14:cfRule>
          <xm:sqref>F2:F6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87D69F-69ED-46FC-BFB6-8F6D32811C36}">
          <x14:formula1>
            <xm:f>ARCHIVADOS!$Z$2:$Z$5</xm:f>
          </x14:formula1>
          <xm:sqref>F2:F6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06CC-A1AA-4C9E-9DDC-48C13E5F2DCD}">
  <sheetPr codeName="Hoja5"/>
  <dimension ref="A1:Z25"/>
  <sheetViews>
    <sheetView zoomScale="70" zoomScaleNormal="70" workbookViewId="0">
      <selection activeCell="F2" sqref="F2"/>
    </sheetView>
  </sheetViews>
  <sheetFormatPr baseColWidth="10" defaultRowHeight="15.75" x14ac:dyDescent="0.25"/>
  <cols>
    <col min="1" max="1" width="23.140625" style="39" bestFit="1" customWidth="1"/>
    <col min="2" max="2" width="45.28515625" style="39" bestFit="1" customWidth="1"/>
    <col min="3" max="3" width="23.85546875" style="39" bestFit="1" customWidth="1"/>
    <col min="4" max="4" width="29" style="39" bestFit="1" customWidth="1"/>
    <col min="5" max="5" width="54.85546875" style="39" bestFit="1" customWidth="1"/>
    <col min="6" max="6" width="15.140625" style="39" bestFit="1" customWidth="1"/>
    <col min="7" max="16384" width="11.42578125" style="39"/>
  </cols>
  <sheetData>
    <row r="1" spans="1:26" x14ac:dyDescent="0.25">
      <c r="A1" s="27" t="s">
        <v>0</v>
      </c>
      <c r="B1" s="27" t="s">
        <v>1</v>
      </c>
      <c r="C1" s="27" t="s">
        <v>23</v>
      </c>
      <c r="D1" s="27" t="s">
        <v>4</v>
      </c>
      <c r="E1" s="27" t="s">
        <v>271</v>
      </c>
      <c r="F1" s="27" t="s">
        <v>276</v>
      </c>
    </row>
    <row r="2" spans="1:26" ht="30" x14ac:dyDescent="0.25">
      <c r="A2" s="23" t="s">
        <v>30</v>
      </c>
      <c r="B2" s="22" t="s">
        <v>41</v>
      </c>
      <c r="C2" s="23" t="s">
        <v>10</v>
      </c>
      <c r="D2" s="22" t="s">
        <v>42</v>
      </c>
      <c r="E2" s="23" t="s">
        <v>277</v>
      </c>
      <c r="F2" s="1" t="s">
        <v>12</v>
      </c>
      <c r="Z2" s="40" t="s">
        <v>10</v>
      </c>
    </row>
    <row r="3" spans="1:26" ht="30" x14ac:dyDescent="0.25">
      <c r="A3" s="23" t="s">
        <v>31</v>
      </c>
      <c r="B3" s="22" t="s">
        <v>41</v>
      </c>
      <c r="C3" s="23" t="s">
        <v>10</v>
      </c>
      <c r="D3" s="22" t="s">
        <v>42</v>
      </c>
      <c r="E3" s="23" t="s">
        <v>277</v>
      </c>
      <c r="F3" s="1" t="s">
        <v>12</v>
      </c>
      <c r="Z3" s="39" t="s">
        <v>303</v>
      </c>
    </row>
    <row r="4" spans="1:26" ht="30" x14ac:dyDescent="0.25">
      <c r="A4" s="23" t="s">
        <v>32</v>
      </c>
      <c r="B4" s="22" t="s">
        <v>41</v>
      </c>
      <c r="C4" s="23" t="s">
        <v>10</v>
      </c>
      <c r="D4" s="41" t="s">
        <v>91</v>
      </c>
      <c r="E4" s="23" t="s">
        <v>277</v>
      </c>
      <c r="F4" s="1" t="s">
        <v>12</v>
      </c>
      <c r="Z4" s="39" t="s">
        <v>12</v>
      </c>
    </row>
    <row r="5" spans="1:26" ht="30" x14ac:dyDescent="0.25">
      <c r="A5" s="23" t="s">
        <v>33</v>
      </c>
      <c r="B5" s="22" t="s">
        <v>41</v>
      </c>
      <c r="C5" s="23" t="s">
        <v>10</v>
      </c>
      <c r="D5" s="41" t="s">
        <v>91</v>
      </c>
      <c r="E5" s="23" t="s">
        <v>277</v>
      </c>
      <c r="F5" s="1" t="s">
        <v>12</v>
      </c>
      <c r="Z5" s="39" t="s">
        <v>273</v>
      </c>
    </row>
    <row r="6" spans="1:26" ht="30" x14ac:dyDescent="0.25">
      <c r="A6" s="23" t="s">
        <v>34</v>
      </c>
      <c r="B6" s="22" t="s">
        <v>41</v>
      </c>
      <c r="C6" s="23" t="s">
        <v>10</v>
      </c>
      <c r="D6" s="41" t="s">
        <v>91</v>
      </c>
      <c r="E6" s="23" t="s">
        <v>277</v>
      </c>
      <c r="F6" s="1" t="s">
        <v>12</v>
      </c>
    </row>
    <row r="7" spans="1:26" x14ac:dyDescent="0.25">
      <c r="A7" s="23" t="s">
        <v>148</v>
      </c>
      <c r="B7" s="23" t="s">
        <v>163</v>
      </c>
      <c r="C7" s="23" t="s">
        <v>10</v>
      </c>
      <c r="D7" s="23" t="s">
        <v>164</v>
      </c>
      <c r="E7" s="23" t="s">
        <v>272</v>
      </c>
      <c r="F7" s="1" t="s">
        <v>12</v>
      </c>
    </row>
    <row r="8" spans="1:26" x14ac:dyDescent="0.25">
      <c r="A8" s="42" t="s">
        <v>155</v>
      </c>
      <c r="B8" s="42" t="s">
        <v>178</v>
      </c>
      <c r="C8" s="42" t="s">
        <v>10</v>
      </c>
      <c r="D8" s="42" t="s">
        <v>29</v>
      </c>
      <c r="E8" s="42" t="s">
        <v>278</v>
      </c>
      <c r="F8" s="1" t="s">
        <v>12</v>
      </c>
    </row>
    <row r="9" spans="1:26" ht="45" x14ac:dyDescent="0.25">
      <c r="A9" s="42" t="s">
        <v>40</v>
      </c>
      <c r="B9" s="43" t="s">
        <v>54</v>
      </c>
      <c r="C9" s="43" t="s">
        <v>57</v>
      </c>
      <c r="D9" s="42" t="s">
        <v>58</v>
      </c>
      <c r="E9" s="42" t="s">
        <v>58</v>
      </c>
      <c r="F9" s="1" t="s">
        <v>12</v>
      </c>
    </row>
    <row r="10" spans="1:26" ht="45" x14ac:dyDescent="0.25">
      <c r="A10" s="42" t="s">
        <v>39</v>
      </c>
      <c r="B10" s="43" t="s">
        <v>55</v>
      </c>
      <c r="C10" s="43" t="s">
        <v>57</v>
      </c>
      <c r="D10" s="42" t="s">
        <v>58</v>
      </c>
      <c r="E10" s="42" t="s">
        <v>58</v>
      </c>
      <c r="F10" s="1" t="s">
        <v>12</v>
      </c>
    </row>
    <row r="11" spans="1:26" ht="45" x14ac:dyDescent="0.25">
      <c r="A11" s="42" t="s">
        <v>38</v>
      </c>
      <c r="B11" s="43" t="s">
        <v>56</v>
      </c>
      <c r="C11" s="43" t="s">
        <v>57</v>
      </c>
      <c r="D11" s="42" t="s">
        <v>58</v>
      </c>
      <c r="E11" s="42" t="s">
        <v>58</v>
      </c>
      <c r="F11" s="1" t="s">
        <v>12</v>
      </c>
    </row>
    <row r="12" spans="1:26" x14ac:dyDescent="0.25">
      <c r="A12" s="42" t="s">
        <v>10</v>
      </c>
      <c r="B12" s="42" t="s">
        <v>125</v>
      </c>
      <c r="C12" s="42" t="s">
        <v>135</v>
      </c>
      <c r="D12" s="42" t="s">
        <v>123</v>
      </c>
      <c r="E12" s="42" t="s">
        <v>123</v>
      </c>
      <c r="F12" s="1" t="s">
        <v>12</v>
      </c>
    </row>
    <row r="13" spans="1:26" x14ac:dyDescent="0.25">
      <c r="A13" s="42" t="s">
        <v>122</v>
      </c>
      <c r="B13" s="42" t="s">
        <v>125</v>
      </c>
      <c r="C13" s="42" t="s">
        <v>124</v>
      </c>
      <c r="D13" s="42" t="s">
        <v>123</v>
      </c>
      <c r="E13" s="42" t="s">
        <v>123</v>
      </c>
      <c r="F13" s="1" t="s">
        <v>12</v>
      </c>
    </row>
    <row r="14" spans="1:26" ht="30" x14ac:dyDescent="0.25">
      <c r="A14" s="42" t="s">
        <v>117</v>
      </c>
      <c r="B14" s="43" t="s">
        <v>118</v>
      </c>
      <c r="C14" s="42" t="s">
        <v>10</v>
      </c>
      <c r="D14" s="42" t="s">
        <v>119</v>
      </c>
      <c r="E14" s="42" t="s">
        <v>119</v>
      </c>
      <c r="F14" s="1" t="s">
        <v>12</v>
      </c>
    </row>
    <row r="15" spans="1:26" ht="45" x14ac:dyDescent="0.25">
      <c r="A15" s="42" t="s">
        <v>65</v>
      </c>
      <c r="B15" s="43" t="s">
        <v>64</v>
      </c>
      <c r="C15" s="42" t="s">
        <v>10</v>
      </c>
      <c r="D15" s="42" t="s">
        <v>67</v>
      </c>
      <c r="E15" s="42" t="s">
        <v>10</v>
      </c>
      <c r="F15" s="1" t="s">
        <v>12</v>
      </c>
    </row>
    <row r="16" spans="1:26" ht="30" x14ac:dyDescent="0.25">
      <c r="A16" s="42" t="s">
        <v>105</v>
      </c>
      <c r="B16" s="43" t="s">
        <v>106</v>
      </c>
      <c r="C16" s="42" t="s">
        <v>107</v>
      </c>
      <c r="D16" s="42" t="s">
        <v>108</v>
      </c>
      <c r="E16" s="42" t="s">
        <v>109</v>
      </c>
      <c r="F16" s="1" t="s">
        <v>12</v>
      </c>
    </row>
    <row r="17" spans="1:6" ht="30" x14ac:dyDescent="0.25">
      <c r="A17" s="42" t="s">
        <v>98</v>
      </c>
      <c r="B17" s="43" t="s">
        <v>99</v>
      </c>
      <c r="C17" s="42" t="s">
        <v>100</v>
      </c>
      <c r="D17" s="42" t="s">
        <v>101</v>
      </c>
      <c r="E17" s="42" t="s">
        <v>279</v>
      </c>
      <c r="F17" s="1" t="s">
        <v>12</v>
      </c>
    </row>
    <row r="18" spans="1:6" ht="75" x14ac:dyDescent="0.25">
      <c r="A18" s="44" t="s">
        <v>35</v>
      </c>
      <c r="B18" s="43" t="s">
        <v>44</v>
      </c>
      <c r="C18" s="43" t="s">
        <v>48</v>
      </c>
      <c r="D18" s="42" t="s">
        <v>45</v>
      </c>
      <c r="E18" s="42" t="s">
        <v>280</v>
      </c>
      <c r="F18" s="1" t="s">
        <v>12</v>
      </c>
    </row>
    <row r="19" spans="1:6" x14ac:dyDescent="0.25">
      <c r="A19" s="42" t="s">
        <v>10</v>
      </c>
      <c r="B19" s="42" t="s">
        <v>281</v>
      </c>
      <c r="C19" s="42" t="s">
        <v>282</v>
      </c>
      <c r="D19" s="42" t="s">
        <v>283</v>
      </c>
      <c r="E19" s="42" t="s">
        <v>284</v>
      </c>
      <c r="F19" s="1" t="s">
        <v>12</v>
      </c>
    </row>
    <row r="20" spans="1:6" x14ac:dyDescent="0.25">
      <c r="A20" s="23" t="s">
        <v>10</v>
      </c>
      <c r="B20" s="23" t="s">
        <v>285</v>
      </c>
      <c r="C20" s="23" t="s">
        <v>285</v>
      </c>
      <c r="D20" s="23" t="s">
        <v>97</v>
      </c>
      <c r="E20" s="23" t="s">
        <v>286</v>
      </c>
      <c r="F20" s="1" t="s">
        <v>12</v>
      </c>
    </row>
    <row r="21" spans="1:6" ht="45" x14ac:dyDescent="0.25">
      <c r="A21" s="23" t="s">
        <v>15</v>
      </c>
      <c r="B21" s="22" t="s">
        <v>287</v>
      </c>
      <c r="C21" s="22" t="s">
        <v>288</v>
      </c>
      <c r="D21" s="23" t="s">
        <v>17</v>
      </c>
      <c r="E21" s="23" t="s">
        <v>289</v>
      </c>
      <c r="F21" s="1" t="s">
        <v>12</v>
      </c>
    </row>
    <row r="22" spans="1:6" x14ac:dyDescent="0.25">
      <c r="A22" s="21" t="s">
        <v>10</v>
      </c>
      <c r="B22" s="21" t="s">
        <v>290</v>
      </c>
      <c r="C22" s="21" t="s">
        <v>10</v>
      </c>
      <c r="D22" s="21" t="s">
        <v>291</v>
      </c>
      <c r="E22" s="21" t="s">
        <v>292</v>
      </c>
      <c r="F22" s="1" t="s">
        <v>12</v>
      </c>
    </row>
    <row r="23" spans="1:6" x14ac:dyDescent="0.25">
      <c r="A23" s="45" t="s">
        <v>293</v>
      </c>
      <c r="B23" s="45" t="s">
        <v>294</v>
      </c>
      <c r="C23" s="45" t="s">
        <v>10</v>
      </c>
      <c r="D23" s="45" t="s">
        <v>295</v>
      </c>
      <c r="E23" s="45" t="s">
        <v>295</v>
      </c>
      <c r="F23" s="1" t="s">
        <v>12</v>
      </c>
    </row>
    <row r="24" spans="1:6" x14ac:dyDescent="0.25">
      <c r="A24" s="45" t="s">
        <v>10</v>
      </c>
      <c r="B24" s="45" t="s">
        <v>296</v>
      </c>
      <c r="C24" s="45" t="s">
        <v>10</v>
      </c>
      <c r="D24" s="45" t="s">
        <v>297</v>
      </c>
      <c r="E24" s="45" t="s">
        <v>298</v>
      </c>
      <c r="F24" s="1" t="s">
        <v>12</v>
      </c>
    </row>
    <row r="25" spans="1:6" ht="30" x14ac:dyDescent="0.25">
      <c r="A25" s="46" t="s">
        <v>37</v>
      </c>
      <c r="B25" s="46" t="s">
        <v>299</v>
      </c>
      <c r="C25" s="46" t="s">
        <v>300</v>
      </c>
      <c r="D25" s="46" t="s">
        <v>301</v>
      </c>
      <c r="E25" s="46" t="s">
        <v>302</v>
      </c>
      <c r="F25" s="1" t="s">
        <v>12</v>
      </c>
    </row>
  </sheetData>
  <dataValidations count="1">
    <dataValidation type="list" allowBlank="1" showInputMessage="1" showErrorMessage="1" sqref="F2:F25" xr:uid="{61F35BE6-328A-4496-B8EF-14EDDBCAB31B}">
      <formula1>$Z$2:$Z$5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5A20C10-7F70-4F56-97AD-5B54285B4AC3}">
            <xm:f>NOT(ISERROR(SEARCH("A ESPERA DE ACTUALIZACIÓN",F2)))</xm:f>
            <xm:f>"A ESPERA DE ACTUALIZACIÓN"</xm:f>
            <x14:dxf>
              <fill>
                <patternFill>
                  <bgColor rgb="FFFF0000"/>
                </patternFill>
              </fill>
            </x14:dxf>
          </x14:cfRule>
          <x14:cfRule type="containsText" priority="2" operator="containsText" id="{1C839A56-3B85-4AAA-A843-1E73CB87DE67}">
            <xm:f>NOT(ISERROR(SEARCH("OK",F2)))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3" operator="containsText" id="{9CA6CDAE-39D6-4212-8C00-76A611E3A742}">
            <xm:f>NOT(ISERROR(SEARCH("PENDIENTE",F2)))</xm:f>
            <xm:f>"PENDIENTE"</xm:f>
            <x14:dxf>
              <fill>
                <patternFill>
                  <bgColor rgb="FFFFC000"/>
                </patternFill>
              </fill>
            </x14:dxf>
          </x14:cfRule>
          <xm:sqref>F2:F25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4257-D5A3-4E29-9E7F-A1125C5E49A0}">
  <sheetPr codeName="Hoja2"/>
  <dimension ref="A1:Z25"/>
  <sheetViews>
    <sheetView topLeftCell="G1" zoomScale="60" zoomScaleNormal="60" workbookViewId="0">
      <selection activeCell="J2" sqref="J2"/>
    </sheetView>
  </sheetViews>
  <sheetFormatPr baseColWidth="10" defaultRowHeight="15" x14ac:dyDescent="0.25"/>
  <cols>
    <col min="1" max="1" width="23.140625" customWidth="1"/>
    <col min="2" max="2" width="33.140625" customWidth="1"/>
    <col min="3" max="3" width="24" customWidth="1"/>
    <col min="4" max="4" width="17.140625" customWidth="1"/>
    <col min="5" max="5" width="32" customWidth="1"/>
    <col min="6" max="6" width="38.7109375" customWidth="1"/>
    <col min="7" max="7" width="29.28515625" customWidth="1"/>
    <col min="8" max="8" width="35" customWidth="1"/>
    <col min="9" max="9" width="53.140625" customWidth="1"/>
    <col min="10" max="10" width="14.7109375" customWidth="1"/>
    <col min="11" max="11" width="39.42578125" customWidth="1"/>
    <col min="12" max="12" width="35.28515625" customWidth="1"/>
    <col min="26" max="26" width="22.28515625" bestFit="1" customWidth="1"/>
  </cols>
  <sheetData>
    <row r="1" spans="1:26" ht="15.75" x14ac:dyDescent="0.25">
      <c r="A1" s="27" t="s">
        <v>0</v>
      </c>
      <c r="B1" s="27" t="s">
        <v>1</v>
      </c>
      <c r="C1" s="27" t="s">
        <v>23</v>
      </c>
      <c r="D1" s="27" t="s">
        <v>4</v>
      </c>
      <c r="E1" s="27" t="s">
        <v>2</v>
      </c>
      <c r="F1" s="27" t="s">
        <v>7</v>
      </c>
      <c r="G1" s="27" t="s">
        <v>3</v>
      </c>
      <c r="H1" s="28" t="s">
        <v>5</v>
      </c>
      <c r="I1" s="28" t="s">
        <v>6</v>
      </c>
      <c r="J1" s="27" t="s">
        <v>8</v>
      </c>
      <c r="K1" s="27" t="s">
        <v>9</v>
      </c>
      <c r="L1" s="28" t="s">
        <v>184</v>
      </c>
    </row>
    <row r="2" spans="1:26" ht="55.5" x14ac:dyDescent="0.25">
      <c r="A2" s="22" t="s">
        <v>155</v>
      </c>
      <c r="B2" s="22" t="s">
        <v>178</v>
      </c>
      <c r="C2" s="23" t="s">
        <v>10</v>
      </c>
      <c r="D2" s="22" t="s">
        <v>176</v>
      </c>
      <c r="E2" s="23" t="s">
        <v>10</v>
      </c>
      <c r="F2" s="23" t="s">
        <v>177</v>
      </c>
      <c r="G2" s="22" t="s">
        <v>196</v>
      </c>
      <c r="H2" s="24">
        <v>44246</v>
      </c>
      <c r="I2" s="24">
        <v>44246</v>
      </c>
      <c r="J2" s="23" t="s">
        <v>12</v>
      </c>
      <c r="K2" s="22" t="s">
        <v>156</v>
      </c>
      <c r="L2" s="23"/>
      <c r="Z2" s="12" t="s">
        <v>10</v>
      </c>
    </row>
    <row r="3" spans="1:26" ht="30" x14ac:dyDescent="0.25">
      <c r="A3" s="26" t="s">
        <v>145</v>
      </c>
      <c r="B3" s="22" t="s">
        <v>161</v>
      </c>
      <c r="C3" s="23" t="s">
        <v>10</v>
      </c>
      <c r="D3" s="22" t="s">
        <v>165</v>
      </c>
      <c r="E3" s="23" t="s">
        <v>10</v>
      </c>
      <c r="F3" s="22" t="s">
        <v>166</v>
      </c>
      <c r="G3" s="22" t="s">
        <v>196</v>
      </c>
      <c r="H3" s="24">
        <v>44246</v>
      </c>
      <c r="I3" s="24">
        <v>44246</v>
      </c>
      <c r="J3" s="23" t="s">
        <v>12</v>
      </c>
      <c r="K3" s="22" t="s">
        <v>181</v>
      </c>
      <c r="L3" s="23"/>
      <c r="Z3" s="2" t="s">
        <v>11</v>
      </c>
    </row>
    <row r="4" spans="1:26" ht="75" x14ac:dyDescent="0.25">
      <c r="A4" s="22" t="s">
        <v>144</v>
      </c>
      <c r="B4" s="22" t="s">
        <v>159</v>
      </c>
      <c r="C4" s="23" t="s">
        <v>10</v>
      </c>
      <c r="D4" s="23" t="s">
        <v>157</v>
      </c>
      <c r="E4" s="23" t="s">
        <v>10</v>
      </c>
      <c r="F4" s="22" t="s">
        <v>160</v>
      </c>
      <c r="G4" s="22" t="s">
        <v>196</v>
      </c>
      <c r="H4" s="24">
        <v>44246</v>
      </c>
      <c r="I4" s="24">
        <v>44246</v>
      </c>
      <c r="J4" s="23" t="s">
        <v>12</v>
      </c>
      <c r="K4" s="22" t="s">
        <v>182</v>
      </c>
      <c r="L4" s="22" t="s">
        <v>185</v>
      </c>
      <c r="Z4" s="2" t="s">
        <v>14</v>
      </c>
    </row>
    <row r="5" spans="1:26" ht="75" x14ac:dyDescent="0.25">
      <c r="A5" s="22" t="s">
        <v>143</v>
      </c>
      <c r="B5" s="22" t="s">
        <v>158</v>
      </c>
      <c r="C5" s="23" t="s">
        <v>10</v>
      </c>
      <c r="D5" s="23" t="s">
        <v>157</v>
      </c>
      <c r="E5" s="23" t="s">
        <v>10</v>
      </c>
      <c r="F5" s="22" t="s">
        <v>160</v>
      </c>
      <c r="G5" s="22" t="s">
        <v>196</v>
      </c>
      <c r="H5" s="24">
        <v>44246</v>
      </c>
      <c r="I5" s="24">
        <v>44246</v>
      </c>
      <c r="J5" s="23" t="s">
        <v>12</v>
      </c>
      <c r="K5" s="22" t="s">
        <v>182</v>
      </c>
      <c r="L5" s="22" t="s">
        <v>185</v>
      </c>
      <c r="Z5" s="2" t="s">
        <v>94</v>
      </c>
    </row>
    <row r="6" spans="1:26" ht="15.75" x14ac:dyDescent="0.25">
      <c r="A6" s="23" t="s">
        <v>140</v>
      </c>
      <c r="B6" s="22" t="s">
        <v>142</v>
      </c>
      <c r="C6" s="23" t="s">
        <v>10</v>
      </c>
      <c r="D6" s="23" t="s">
        <v>141</v>
      </c>
      <c r="E6" s="23" t="s">
        <v>10</v>
      </c>
      <c r="F6" s="23" t="s">
        <v>139</v>
      </c>
      <c r="G6" s="23" t="s">
        <v>115</v>
      </c>
      <c r="H6" s="24">
        <v>44244</v>
      </c>
      <c r="I6" s="24">
        <v>44244</v>
      </c>
      <c r="J6" s="23" t="s">
        <v>12</v>
      </c>
      <c r="K6" s="23" t="s">
        <v>198</v>
      </c>
      <c r="L6" s="23"/>
      <c r="Z6" s="2" t="s">
        <v>183</v>
      </c>
    </row>
    <row r="7" spans="1:26" ht="30" x14ac:dyDescent="0.25">
      <c r="A7" s="23" t="s">
        <v>10</v>
      </c>
      <c r="B7" s="22" t="s">
        <v>125</v>
      </c>
      <c r="C7" s="23" t="s">
        <v>136</v>
      </c>
      <c r="D7" s="23" t="s">
        <v>123</v>
      </c>
      <c r="E7" s="23" t="s">
        <v>10</v>
      </c>
      <c r="F7" s="23" t="s">
        <v>137</v>
      </c>
      <c r="G7" s="22" t="s">
        <v>127</v>
      </c>
      <c r="H7" s="24">
        <v>44244</v>
      </c>
      <c r="I7" s="24">
        <v>44244</v>
      </c>
      <c r="J7" s="23" t="s">
        <v>12</v>
      </c>
      <c r="K7" s="22" t="s">
        <v>250</v>
      </c>
      <c r="L7" s="23"/>
      <c r="Z7" s="2" t="s">
        <v>12</v>
      </c>
    </row>
    <row r="8" spans="1:26" ht="30" x14ac:dyDescent="0.25">
      <c r="A8" s="23" t="s">
        <v>10</v>
      </c>
      <c r="B8" s="22" t="s">
        <v>125</v>
      </c>
      <c r="C8" s="23" t="s">
        <v>136</v>
      </c>
      <c r="D8" s="23" t="s">
        <v>123</v>
      </c>
      <c r="E8" s="23" t="s">
        <v>10</v>
      </c>
      <c r="F8" s="23" t="s">
        <v>133</v>
      </c>
      <c r="G8" s="22" t="s">
        <v>127</v>
      </c>
      <c r="H8" s="24">
        <v>44243</v>
      </c>
      <c r="I8" s="24">
        <v>44243</v>
      </c>
      <c r="J8" s="23" t="s">
        <v>12</v>
      </c>
      <c r="K8" s="22" t="s">
        <v>250</v>
      </c>
      <c r="L8" s="23"/>
      <c r="Z8" s="2" t="s">
        <v>13</v>
      </c>
    </row>
    <row r="9" spans="1:26" ht="30" x14ac:dyDescent="0.25">
      <c r="A9" s="23" t="s">
        <v>10</v>
      </c>
      <c r="B9" s="22" t="s">
        <v>125</v>
      </c>
      <c r="C9" s="23" t="s">
        <v>135</v>
      </c>
      <c r="D9" s="23" t="s">
        <v>123</v>
      </c>
      <c r="E9" s="23" t="s">
        <v>10</v>
      </c>
      <c r="F9" s="23" t="s">
        <v>133</v>
      </c>
      <c r="G9" s="23" t="s">
        <v>134</v>
      </c>
      <c r="H9" s="24">
        <v>44243</v>
      </c>
      <c r="I9" s="24">
        <v>44243</v>
      </c>
      <c r="J9" s="23" t="s">
        <v>12</v>
      </c>
      <c r="K9" s="23"/>
      <c r="L9" s="23"/>
    </row>
    <row r="10" spans="1:26" ht="45" x14ac:dyDescent="0.25">
      <c r="A10" s="23" t="s">
        <v>117</v>
      </c>
      <c r="B10" s="22" t="s">
        <v>118</v>
      </c>
      <c r="C10" s="23" t="s">
        <v>10</v>
      </c>
      <c r="D10" s="23" t="s">
        <v>119</v>
      </c>
      <c r="E10" s="22" t="s">
        <v>120</v>
      </c>
      <c r="F10" s="23" t="s">
        <v>121</v>
      </c>
      <c r="G10" s="23" t="s">
        <v>76</v>
      </c>
      <c r="H10" s="24">
        <v>44242</v>
      </c>
      <c r="I10" s="24">
        <v>44243</v>
      </c>
      <c r="J10" s="23" t="s">
        <v>12</v>
      </c>
      <c r="K10" s="23"/>
      <c r="L10" s="23"/>
    </row>
    <row r="11" spans="1:26" ht="75" x14ac:dyDescent="0.25">
      <c r="A11" s="25" t="s">
        <v>40</v>
      </c>
      <c r="B11" s="22" t="s">
        <v>54</v>
      </c>
      <c r="C11" s="22" t="s">
        <v>57</v>
      </c>
      <c r="D11" s="22" t="s">
        <v>58</v>
      </c>
      <c r="E11" s="23" t="s">
        <v>10</v>
      </c>
      <c r="F11" s="22" t="s">
        <v>92</v>
      </c>
      <c r="G11" s="23" t="s">
        <v>18</v>
      </c>
      <c r="H11" s="24">
        <v>44222</v>
      </c>
      <c r="I11" s="24">
        <v>44243</v>
      </c>
      <c r="J11" s="23" t="s">
        <v>12</v>
      </c>
      <c r="K11" s="22" t="s">
        <v>132</v>
      </c>
      <c r="L11" s="23"/>
    </row>
    <row r="12" spans="1:26" ht="75" x14ac:dyDescent="0.25">
      <c r="A12" s="23" t="s">
        <v>39</v>
      </c>
      <c r="B12" s="22" t="s">
        <v>55</v>
      </c>
      <c r="C12" s="22" t="s">
        <v>57</v>
      </c>
      <c r="D12" s="22" t="s">
        <v>58</v>
      </c>
      <c r="E12" s="23" t="s">
        <v>10</v>
      </c>
      <c r="F12" s="22" t="s">
        <v>92</v>
      </c>
      <c r="G12" s="23" t="s">
        <v>18</v>
      </c>
      <c r="H12" s="24">
        <v>44222</v>
      </c>
      <c r="I12" s="24">
        <v>44243</v>
      </c>
      <c r="J12" s="23" t="s">
        <v>12</v>
      </c>
      <c r="K12" s="22" t="s">
        <v>132</v>
      </c>
      <c r="L12" s="23"/>
    </row>
    <row r="13" spans="1:26" ht="75" x14ac:dyDescent="0.25">
      <c r="A13" s="25" t="s">
        <v>38</v>
      </c>
      <c r="B13" s="22" t="s">
        <v>56</v>
      </c>
      <c r="C13" s="22" t="s">
        <v>57</v>
      </c>
      <c r="D13" s="22" t="s">
        <v>58</v>
      </c>
      <c r="E13" s="23" t="s">
        <v>10</v>
      </c>
      <c r="F13" s="22" t="s">
        <v>92</v>
      </c>
      <c r="G13" s="23" t="s">
        <v>18</v>
      </c>
      <c r="H13" s="24">
        <v>44222</v>
      </c>
      <c r="I13" s="24">
        <v>44243</v>
      </c>
      <c r="J13" s="23" t="s">
        <v>12</v>
      </c>
      <c r="K13" s="22" t="s">
        <v>132</v>
      </c>
      <c r="L13" s="23"/>
    </row>
    <row r="14" spans="1:26" ht="30" x14ac:dyDescent="0.25">
      <c r="A14" s="23" t="s">
        <v>122</v>
      </c>
      <c r="B14" s="22" t="s">
        <v>125</v>
      </c>
      <c r="C14" s="22" t="s">
        <v>124</v>
      </c>
      <c r="D14" s="23" t="s">
        <v>123</v>
      </c>
      <c r="E14" s="23" t="s">
        <v>10</v>
      </c>
      <c r="F14" s="23" t="s">
        <v>126</v>
      </c>
      <c r="G14" s="22" t="s">
        <v>127</v>
      </c>
      <c r="H14" s="24">
        <v>44228</v>
      </c>
      <c r="I14" s="24">
        <v>44242</v>
      </c>
      <c r="J14" s="23" t="s">
        <v>12</v>
      </c>
      <c r="K14" s="22" t="s">
        <v>128</v>
      </c>
      <c r="L14" s="23"/>
    </row>
    <row r="15" spans="1:26" ht="30" x14ac:dyDescent="0.25">
      <c r="A15" s="23">
        <v>668056</v>
      </c>
      <c r="B15" s="22" t="s">
        <v>111</v>
      </c>
      <c r="C15" s="22" t="s">
        <v>112</v>
      </c>
      <c r="D15" s="22" t="s">
        <v>113</v>
      </c>
      <c r="E15" s="22" t="s">
        <v>114</v>
      </c>
      <c r="F15" s="23" t="s">
        <v>110</v>
      </c>
      <c r="G15" s="23" t="s">
        <v>115</v>
      </c>
      <c r="H15" s="24">
        <v>44242</v>
      </c>
      <c r="I15" s="24">
        <v>44242</v>
      </c>
      <c r="J15" s="23" t="s">
        <v>12</v>
      </c>
      <c r="K15" s="22" t="s">
        <v>138</v>
      </c>
      <c r="L15" s="23"/>
    </row>
    <row r="16" spans="1:26" ht="30" x14ac:dyDescent="0.25">
      <c r="A16" s="23" t="s">
        <v>65</v>
      </c>
      <c r="B16" s="22" t="s">
        <v>64</v>
      </c>
      <c r="C16" s="23" t="s">
        <v>10</v>
      </c>
      <c r="D16" s="23" t="s">
        <v>67</v>
      </c>
      <c r="E16" s="23" t="s">
        <v>66</v>
      </c>
      <c r="F16" s="23" t="s">
        <v>68</v>
      </c>
      <c r="G16" s="23" t="s">
        <v>18</v>
      </c>
      <c r="H16" s="24">
        <v>44235</v>
      </c>
      <c r="I16" s="24">
        <v>44242</v>
      </c>
      <c r="J16" s="23" t="s">
        <v>12</v>
      </c>
      <c r="K16" s="23"/>
      <c r="L16" s="23"/>
    </row>
    <row r="17" spans="1:12" ht="30" x14ac:dyDescent="0.25">
      <c r="A17" s="23" t="s">
        <v>105</v>
      </c>
      <c r="B17" s="22" t="s">
        <v>106</v>
      </c>
      <c r="C17" s="23" t="s">
        <v>107</v>
      </c>
      <c r="D17" s="22" t="s">
        <v>108</v>
      </c>
      <c r="E17" s="23" t="s">
        <v>109</v>
      </c>
      <c r="F17" s="23" t="s">
        <v>103</v>
      </c>
      <c r="G17" s="23" t="s">
        <v>76</v>
      </c>
      <c r="H17" s="24">
        <v>44237</v>
      </c>
      <c r="I17" s="24">
        <v>44239</v>
      </c>
      <c r="J17" s="23" t="s">
        <v>12</v>
      </c>
      <c r="K17" s="23"/>
      <c r="L17" s="23"/>
    </row>
    <row r="18" spans="1:12" ht="30" x14ac:dyDescent="0.25">
      <c r="A18" s="22" t="s">
        <v>98</v>
      </c>
      <c r="B18" s="22" t="s">
        <v>99</v>
      </c>
      <c r="C18" s="23" t="s">
        <v>100</v>
      </c>
      <c r="D18" s="23" t="s">
        <v>101</v>
      </c>
      <c r="E18" s="23" t="s">
        <v>102</v>
      </c>
      <c r="F18" s="22" t="s">
        <v>103</v>
      </c>
      <c r="G18" s="22" t="s">
        <v>76</v>
      </c>
      <c r="H18" s="24">
        <v>44237</v>
      </c>
      <c r="I18" s="24">
        <v>44239</v>
      </c>
      <c r="J18" s="23" t="s">
        <v>12</v>
      </c>
      <c r="K18" s="22"/>
      <c r="L18" s="23"/>
    </row>
    <row r="19" spans="1:12" ht="30" x14ac:dyDescent="0.25">
      <c r="A19" s="22" t="s">
        <v>95</v>
      </c>
      <c r="B19" s="22" t="s">
        <v>96</v>
      </c>
      <c r="C19" s="23" t="s">
        <v>10</v>
      </c>
      <c r="D19" s="22" t="s">
        <v>164</v>
      </c>
      <c r="E19" s="23" t="s">
        <v>10</v>
      </c>
      <c r="F19" s="23" t="s">
        <v>59</v>
      </c>
      <c r="G19" s="23" t="s">
        <v>76</v>
      </c>
      <c r="H19" s="24">
        <v>44237</v>
      </c>
      <c r="I19" s="24">
        <v>44239</v>
      </c>
      <c r="J19" s="23" t="s">
        <v>12</v>
      </c>
      <c r="K19" s="23"/>
      <c r="L19" s="23"/>
    </row>
    <row r="20" spans="1:12" ht="60" x14ac:dyDescent="0.25">
      <c r="A20" s="25" t="s">
        <v>35</v>
      </c>
      <c r="B20" s="22" t="s">
        <v>44</v>
      </c>
      <c r="C20" s="22" t="s">
        <v>48</v>
      </c>
      <c r="D20" s="22" t="s">
        <v>45</v>
      </c>
      <c r="E20" s="23" t="s">
        <v>10</v>
      </c>
      <c r="F20" s="22" t="s">
        <v>52</v>
      </c>
      <c r="G20" s="23" t="s">
        <v>18</v>
      </c>
      <c r="H20" s="24">
        <v>44222</v>
      </c>
      <c r="I20" s="24">
        <v>44238</v>
      </c>
      <c r="J20" s="23" t="s">
        <v>12</v>
      </c>
      <c r="K20" s="22" t="s">
        <v>53</v>
      </c>
      <c r="L20" s="23"/>
    </row>
    <row r="21" spans="1:12" ht="45" x14ac:dyDescent="0.25">
      <c r="A21" s="23" t="s">
        <v>85</v>
      </c>
      <c r="B21" s="21" t="s">
        <v>86</v>
      </c>
      <c r="C21" s="21" t="s">
        <v>87</v>
      </c>
      <c r="D21" s="22" t="s">
        <v>89</v>
      </c>
      <c r="E21" s="23"/>
      <c r="F21" s="23" t="s">
        <v>88</v>
      </c>
      <c r="G21" s="23" t="s">
        <v>90</v>
      </c>
      <c r="H21" s="24">
        <v>44238</v>
      </c>
      <c r="I21" s="24">
        <v>44238</v>
      </c>
      <c r="J21" s="23" t="s">
        <v>12</v>
      </c>
      <c r="K21" s="22" t="s">
        <v>138</v>
      </c>
      <c r="L21" s="23"/>
    </row>
    <row r="22" spans="1:12" ht="105" x14ac:dyDescent="0.25">
      <c r="A22" s="23" t="s">
        <v>15</v>
      </c>
      <c r="B22" s="22" t="s">
        <v>16</v>
      </c>
      <c r="C22" s="22" t="s">
        <v>10</v>
      </c>
      <c r="D22" s="23" t="s">
        <v>61</v>
      </c>
      <c r="E22" s="23" t="s">
        <v>10</v>
      </c>
      <c r="F22" s="22" t="s">
        <v>62</v>
      </c>
      <c r="G22" s="23" t="s">
        <v>18</v>
      </c>
      <c r="H22" s="24">
        <v>44222</v>
      </c>
      <c r="I22" s="24">
        <v>44235</v>
      </c>
      <c r="J22" s="23" t="s">
        <v>12</v>
      </c>
      <c r="K22" s="22" t="s">
        <v>93</v>
      </c>
      <c r="L22" s="23"/>
    </row>
    <row r="23" spans="1:12" x14ac:dyDescent="0.25">
      <c r="A23" s="22" t="s">
        <v>37</v>
      </c>
      <c r="B23" s="22"/>
      <c r="C23" s="23" t="s">
        <v>25</v>
      </c>
      <c r="D23" s="23" t="s">
        <v>97</v>
      </c>
      <c r="E23" s="33"/>
      <c r="F23" s="22" t="s">
        <v>20</v>
      </c>
      <c r="G23" s="22"/>
      <c r="H23" s="24"/>
      <c r="I23" s="24"/>
      <c r="J23" s="23" t="s">
        <v>12</v>
      </c>
      <c r="K23" s="22"/>
      <c r="L23" s="23"/>
    </row>
    <row r="24" spans="1:12" ht="30" x14ac:dyDescent="0.25">
      <c r="A24" s="30" t="s">
        <v>15</v>
      </c>
      <c r="B24" s="31" t="s">
        <v>16</v>
      </c>
      <c r="C24" s="31" t="s">
        <v>10</v>
      </c>
      <c r="D24" s="30" t="s">
        <v>17</v>
      </c>
      <c r="E24" s="30" t="s">
        <v>10</v>
      </c>
      <c r="F24" s="31" t="s">
        <v>19</v>
      </c>
      <c r="G24" s="30" t="s">
        <v>18</v>
      </c>
      <c r="H24" s="32">
        <v>44222</v>
      </c>
      <c r="I24" s="32">
        <v>44232</v>
      </c>
      <c r="J24" s="23" t="s">
        <v>12</v>
      </c>
      <c r="K24" s="30"/>
      <c r="L24" s="30"/>
    </row>
    <row r="25" spans="1:12" x14ac:dyDescent="0.25">
      <c r="A25" s="35" t="s">
        <v>186</v>
      </c>
      <c r="B25" s="35" t="s">
        <v>187</v>
      </c>
      <c r="C25" s="29" t="s">
        <v>188</v>
      </c>
      <c r="D25" s="29" t="s">
        <v>189</v>
      </c>
      <c r="E25" s="29"/>
      <c r="F25" s="35" t="s">
        <v>190</v>
      </c>
      <c r="G25" s="35" t="s">
        <v>129</v>
      </c>
      <c r="H25" s="36">
        <v>44246</v>
      </c>
      <c r="I25" s="36">
        <v>44250</v>
      </c>
      <c r="J25" s="23" t="s">
        <v>12</v>
      </c>
      <c r="K25" s="35" t="s">
        <v>192</v>
      </c>
      <c r="L25" s="29"/>
    </row>
  </sheetData>
  <dataValidations count="1">
    <dataValidation type="list" allowBlank="1" showInputMessage="1" showErrorMessage="1" sqref="J2:J25" xr:uid="{D00F6742-C1DB-4390-B89B-2529BF2AB06D}">
      <formula1>$Z$2:$Z$8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E306AD2-56D9-4D95-A584-6DAA94506D94}">
            <xm:f>NOT(ISERROR(SEARCH("CONSULTA",J2)))</xm:f>
            <xm:f>"CONSULTA"</xm:f>
            <x14:dxf>
              <fill>
                <patternFill>
                  <bgColor rgb="FF7030A0"/>
                </patternFill>
              </fill>
            </x14:dxf>
          </x14:cfRule>
          <x14:cfRule type="containsText" priority="3" operator="containsText" id="{DC639883-7142-42E1-B789-F032853FB514}">
            <xm:f>NOT(ISERROR(SEARCH("NOK",J2)))</xm:f>
            <xm:f>"NOK"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7C1D9C84-8C08-4D7D-9E3C-2F9DF15BC08C}">
            <xm:f>NOT(ISERROR(SEARCH("OK",J2)))</xm:f>
            <xm:f>"OK"</xm:f>
            <x14:dxf>
              <fill>
                <patternFill>
                  <bgColor rgb="FF92D050"/>
                </patternFill>
              </fill>
            </x14:dxf>
          </x14:cfRule>
          <x14:cfRule type="containsText" priority="5" operator="containsText" id="{3CB1F073-6B23-4C41-93BC-DFB161BBE4FB}">
            <xm:f>NOT(ISERROR(SEARCH("POR RESPONDER",J2)))</xm:f>
            <xm:f>"POR RESPONDER"</xm:f>
            <x14:dxf>
              <fill>
                <patternFill>
                  <bgColor rgb="FFFFC000"/>
                </patternFill>
              </fill>
            </x14:dxf>
          </x14:cfRule>
          <x14:cfRule type="containsText" priority="6" operator="containsText" id="{C7E4D8AE-E467-44AE-9E87-C2EFF0956602}">
            <xm:f>NOT(ISERROR(SEARCH("PEDIDO",J2)))</xm:f>
            <xm:f>"PEDIDO"</xm:f>
            <x14:dxf>
              <fill>
                <patternFill>
                  <bgColor rgb="FFFFFF00"/>
                </patternFill>
              </fill>
            </x14:dxf>
          </x14:cfRule>
          <xm:sqref>J2:J25</xm:sqref>
        </x14:conditionalFormatting>
        <x14:conditionalFormatting xmlns:xm="http://schemas.microsoft.com/office/excel/2006/main">
          <x14:cfRule type="containsText" priority="2" operator="containsText" id="{BF936126-6CF1-4148-A029-046B82F32223}">
            <xm:f>NOT(ISERROR(SEARCH("POR ARCHIVAR",J2)))</xm:f>
            <xm:f>"POR ARCHIVAR"</xm:f>
            <x14:dxf>
              <fill>
                <patternFill>
                  <bgColor rgb="FF00B0F0"/>
                </patternFill>
              </fill>
            </x14:dxf>
          </x14:cfRule>
          <xm:sqref>J2:J25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EN CURSO</vt:lpstr>
      <vt:lpstr>REACH</vt:lpstr>
      <vt:lpstr>POR ARCHIVAR</vt:lpstr>
      <vt:lpstr>ARCHIVADOS</vt:lpstr>
      <vt:lpstr>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Callejo Sanz, David (ext)</dc:creator>
  <cp:lastModifiedBy>Callejo Sanz, David (ext)</cp:lastModifiedBy>
  <dcterms:created xsi:type="dcterms:W3CDTF">2015-06-05T18:17:20Z</dcterms:created>
  <dcterms:modified xsi:type="dcterms:W3CDTF">2021-03-02T12:07:21Z</dcterms:modified>
</cp:coreProperties>
</file>